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mmaire" sheetId="1" state="visible" r:id="rId3"/>
    <sheet name="Listes" sheetId="2" state="visible" r:id="rId4"/>
    <sheet name="1. Infrastructure matérielle" sheetId="3" state="visible" r:id="rId5"/>
    <sheet name="2. Connectivité" sheetId="4" state="visible" r:id="rId6"/>
    <sheet name="3. Logiciels &amp; applications" sheetId="5" state="visible" r:id="rId7"/>
    <sheet name="4. Cloud" sheetId="6" state="visible" r:id="rId8"/>
    <sheet name="5. Cybersécurité" sheetId="7" state="visible" r:id="rId9"/>
    <sheet name="6. Données &amp; conformité" sheetId="8" state="visible" r:id="rId10"/>
    <sheet name="7. Présence en ligne &amp; marketin" sheetId="9" state="visible" r:id="rId11"/>
    <sheet name="8. Mobilité &amp; télétravail" sheetId="10" state="visible" r:id="rId12"/>
    <sheet name="9. Services &amp; exploitation" sheetId="11" state="visible" r:id="rId13"/>
    <sheet name="10. Innovation &amp; transformation" sheetId="12" state="visible" r:id="rId14"/>
    <sheet name="11. Gouvernance &amp; humain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<sst xmlns="http://schemas.openxmlformats.org/spreadsheetml/2006/main" count="762" uniqueCount="513">
  <si>
    <t xml:space="preserve">Questionnaire de qualification IA — TPE / PME</t>
  </si>
  <si>
    <t xml:space="preserve">Pour chaque ligne : sélectionner la valeur dans la liste déroulante. Pastille verte = brique enrichissable par l'IA.</t>
  </si>
  <si>
    <t xml:space="preserve">Légende :</t>
  </si>
  <si>
    <t xml:space="preserve">●</t>
  </si>
  <si>
    <t xml:space="preserve">Compatible / enrichissable IA</t>
  </si>
  <si>
    <t xml:space="preserve">Chapitre</t>
  </si>
  <si>
    <t xml:space="preserve">Nb éléments</t>
  </si>
  <si>
    <t xml:space="preserve">Dont IA</t>
  </si>
  <si>
    <t xml:space="preserve">% IA</t>
  </si>
  <si>
    <t xml:space="preserve">Complétude</t>
  </si>
  <si>
    <t xml:space="preserve">1. Infrastructure matérielle</t>
  </si>
  <si>
    <t xml:space="preserve">2. Connectivité</t>
  </si>
  <si>
    <t xml:space="preserve">3. Logiciels &amp; applications</t>
  </si>
  <si>
    <t xml:space="preserve">4. Cloud</t>
  </si>
  <si>
    <t xml:space="preserve">5. Cybersécurité</t>
  </si>
  <si>
    <t xml:space="preserve">6. Données &amp; conformité</t>
  </si>
  <si>
    <t xml:space="preserve">7. Présence en ligne &amp; marketing</t>
  </si>
  <si>
    <t xml:space="preserve">8. Mobilité &amp; télétravail</t>
  </si>
  <si>
    <t xml:space="preserve">9. Services &amp; exploitation</t>
  </si>
  <si>
    <t xml:space="preserve">10. Innovation &amp; transformation</t>
  </si>
  <si>
    <t xml:space="preserve">11. Gouvernance &amp; humain</t>
  </si>
  <si>
    <t xml:space="preserve">TOTAL</t>
  </si>
  <si>
    <t xml:space="preserve">ℹ Les listes de valeurs sont modifiables dans l'onglet « Listes » (à la fin du classeur).</t>
  </si>
  <si>
    <t xml:space="preserve">Listes de valeurs (référentiel)</t>
  </si>
  <si>
    <t xml:space="preserve">L_postes</t>
  </si>
  <si>
    <t xml:space="preserve">L_serveurs</t>
  </si>
  <si>
    <t xml:space="preserve">L_stockage</t>
  </si>
  <si>
    <t xml:space="preserve">L_reseau</t>
  </si>
  <si>
    <t xml:space="preserve">L_firewall</t>
  </si>
  <si>
    <t xml:space="preserve">L_onduleur</t>
  </si>
  <si>
    <t xml:space="preserve">L_periph</t>
  </si>
  <si>
    <t xml:space="preserve">L_av</t>
  </si>
  <si>
    <t xml:space="preserve">L_internet</t>
  </si>
  <si>
    <t xml:space="preserve">L_lan</t>
  </si>
  <si>
    <t xml:space="preserve">L_vpn</t>
  </si>
  <si>
    <t xml:space="preserve">L_tel</t>
  </si>
  <si>
    <t xml:space="preserve">L_office</t>
  </si>
  <si>
    <t xml:space="preserve">L_messagerie</t>
  </si>
  <si>
    <t xml:space="preserve">L_erp</t>
  </si>
  <si>
    <t xml:space="preserve">L_metier</t>
  </si>
  <si>
    <t xml:space="preserve">L_ged</t>
  </si>
  <si>
    <t xml:space="preserve">L_saas</t>
  </si>
  <si>
    <t xml:space="preserve">L_iaas</t>
  </si>
  <si>
    <t xml:space="preserve">L_heberg</t>
  </si>
  <si>
    <t xml:space="preserve">L_backup</t>
  </si>
  <si>
    <t xml:space="preserve">L_av_endpoint</t>
  </si>
  <si>
    <t xml:space="preserve">L_filt</t>
  </si>
  <si>
    <t xml:space="preserve">L_pra</t>
  </si>
  <si>
    <t xml:space="preserve">L_mfa</t>
  </si>
  <si>
    <t xml:space="preserve">L_pwd</t>
  </si>
  <si>
    <t xml:space="preserve">L_audit</t>
  </si>
  <si>
    <t xml:space="preserve">L_sensi</t>
  </si>
  <si>
    <t xml:space="preserve">L_conf</t>
  </si>
  <si>
    <t xml:space="preserve">L_bi</t>
  </si>
  <si>
    <t xml:space="preserve">L_rgpd</t>
  </si>
  <si>
    <t xml:space="preserve">L_archivage</t>
  </si>
  <si>
    <t xml:space="preserve">L_facture</t>
  </si>
  <si>
    <t xml:space="preserve">L_legal</t>
  </si>
  <si>
    <t xml:space="preserve">L_domaine</t>
  </si>
  <si>
    <t xml:space="preserve">L_site</t>
  </si>
  <si>
    <t xml:space="preserve">L_seo</t>
  </si>
  <si>
    <t xml:space="preserve">L_rs</t>
  </si>
  <si>
    <t xml:space="preserve">L_emailing</t>
  </si>
  <si>
    <t xml:space="preserve">L_mobile</t>
  </si>
  <si>
    <t xml:space="preserve">L_mdm</t>
  </si>
  <si>
    <t xml:space="preserve">L_remote</t>
  </si>
  <si>
    <t xml:space="preserve">L_virtualposte</t>
  </si>
  <si>
    <t xml:space="preserve">L_infog</t>
  </si>
  <si>
    <t xml:space="preserve">L_helpdesk</t>
  </si>
  <si>
    <t xml:space="preserve">L_tma</t>
  </si>
  <si>
    <t xml:space="preserve">L_patch</t>
  </si>
  <si>
    <t xml:space="preserve">L_licences</t>
  </si>
  <si>
    <t xml:space="preserve">L_iagen</t>
  </si>
  <si>
    <t xml:space="preserve">L_auto</t>
  </si>
  <si>
    <t xml:space="preserve">L_iot</t>
  </si>
  <si>
    <t xml:space="preserve">L_demat</t>
  </si>
  <si>
    <t xml:space="preserve">L_charte</t>
  </si>
  <si>
    <t xml:space="preserve">L_sdsi</t>
  </si>
  <si>
    <t xml:space="preserve">L_form</t>
  </si>
  <si>
    <t xml:space="preserve">L_contrat</t>
  </si>
  <si>
    <t xml:space="preserve">Aucun</t>
  </si>
  <si>
    <t xml:space="preserve">Aucun (full cloud)</t>
  </si>
  <si>
    <t xml:space="preserve">Aucun stockage centralisé</t>
  </si>
  <si>
    <t xml:space="preserve">Box opérateur seule</t>
  </si>
  <si>
    <t xml:space="preserve">Aucun (box opérateur)</t>
  </si>
  <si>
    <t xml:space="preserve">ADSL / VDSL</t>
  </si>
  <si>
    <t xml:space="preserve">Réseau plat (un seul réseau)</t>
  </si>
  <si>
    <t xml:space="preserve">RTC analogique (en sursis)</t>
  </si>
  <si>
    <t xml:space="preserve">Aucune</t>
  </si>
  <si>
    <t xml:space="preserve">Aucune messagerie pro</t>
  </si>
  <si>
    <t xml:space="preserve">Aucun SaaS</t>
  </si>
  <si>
    <t xml:space="preserve">Aucun site</t>
  </si>
  <si>
    <t xml:space="preserve">Aucune sauvegarde</t>
  </si>
  <si>
    <t xml:space="preserve">Windows Defender seul</t>
  </si>
  <si>
    <t xml:space="preserve">Box opérateur uniquement</t>
  </si>
  <si>
    <t xml:space="preserve">Aucun MFA</t>
  </si>
  <si>
    <t xml:space="preserve">Aucun (post-it / Excel)</t>
  </si>
  <si>
    <t xml:space="preserve">Aucun audit</t>
  </si>
  <si>
    <t xml:space="preserve">Aucune sensibilisation</t>
  </si>
  <si>
    <t xml:space="preserve">Aucune démarche</t>
  </si>
  <si>
    <t xml:space="preserve">Aucun (Excel basique)</t>
  </si>
  <si>
    <t xml:space="preserve">Aucune action</t>
  </si>
  <si>
    <t xml:space="preserve">Aucune préparation</t>
  </si>
  <si>
    <t xml:space="preserve">Aucun MDM</t>
  </si>
  <si>
    <t xml:space="preserve">100% interne</t>
  </si>
  <si>
    <t xml:space="preserve">Manuel</t>
  </si>
  <si>
    <t xml:space="preserve">Tableur Excel</t>
  </si>
  <si>
    <t xml:space="preserve">Tour fixe Windows</t>
  </si>
  <si>
    <t xml:space="preserve">Serveur physique unique</t>
  </si>
  <si>
    <t xml:space="preserve">NAS Synology</t>
  </si>
  <si>
    <t xml:space="preserve">Switch non managé</t>
  </si>
  <si>
    <t xml:space="preserve">Stormshield</t>
  </si>
  <si>
    <t xml:space="preserve">1 onduleur poste</t>
  </si>
  <si>
    <t xml:space="preserve">Imprimante personnelle</t>
  </si>
  <si>
    <t xml:space="preserve">Webcam basique</t>
  </si>
  <si>
    <t xml:space="preserve">Fibre FTTH grand public</t>
  </si>
  <si>
    <t xml:space="preserve">Plusieurs SSID</t>
  </si>
  <si>
    <t xml:space="preserve">VPN site-à-site IPsec</t>
  </si>
  <si>
    <t xml:space="preserve">Trunk SIP</t>
  </si>
  <si>
    <t xml:space="preserve">Microsoft 365 Business</t>
  </si>
  <si>
    <t xml:space="preserve">Email OVH (IMAP)</t>
  </si>
  <si>
    <t xml:space="preserve">Odoo Online</t>
  </si>
  <si>
    <t xml:space="preserve">1 logiciel métier vertical</t>
  </si>
  <si>
    <t xml:space="preserve">SharePoint / OneDrive</t>
  </si>
  <si>
    <t xml:space="preserve">Quelques outils SaaS</t>
  </si>
  <si>
    <t xml:space="preserve">Microsoft Azure</t>
  </si>
  <si>
    <t xml:space="preserve">OVH</t>
  </si>
  <si>
    <t xml:space="preserve">Disque externe</t>
  </si>
  <si>
    <t xml:space="preserve">Antivirus grand public</t>
  </si>
  <si>
    <t xml:space="preserve">UTM Stormshield</t>
  </si>
  <si>
    <t xml:space="preserve">Disque externe seul</t>
  </si>
  <si>
    <t xml:space="preserve">MFA partiel (admins)</t>
  </si>
  <si>
    <t xml:space="preserve">Navigateur</t>
  </si>
  <si>
    <t xml:space="preserve">Audit interne ponctuel</t>
  </si>
  <si>
    <t xml:space="preserve">Sensibilisation ponctuelle</t>
  </si>
  <si>
    <t xml:space="preserve">RGPD entamée</t>
  </si>
  <si>
    <t xml:space="preserve">Excel avancé</t>
  </si>
  <si>
    <t xml:space="preserve">Registre des traitements fait</t>
  </si>
  <si>
    <t xml:space="preserve">Archivage papier</t>
  </si>
  <si>
    <t xml:space="preserve">En cours</t>
  </si>
  <si>
    <t xml:space="preserve">Existantes mais anciennes</t>
  </si>
  <si>
    <t xml:space="preserve">1 domaine</t>
  </si>
  <si>
    <t xml:space="preserve">Vitrine simple</t>
  </si>
  <si>
    <t xml:space="preserve">Google Business Profile rempli</t>
  </si>
  <si>
    <t xml:space="preserve">LinkedIn entreprise</t>
  </si>
  <si>
    <t xml:space="preserve">Mailchimp</t>
  </si>
  <si>
    <t xml:space="preserve">BYOD (matériel perso)</t>
  </si>
  <si>
    <t xml:space="preserve">Microsoft Intune</t>
  </si>
  <si>
    <t xml:space="preserve">VPN classique</t>
  </si>
  <si>
    <t xml:space="preserve">RDS local sur serveur</t>
  </si>
  <si>
    <t xml:space="preserve">Régie ponctuelle</t>
  </si>
  <si>
    <t xml:space="preserve">Support interne</t>
  </si>
  <si>
    <t xml:space="preserve">Contrat éditeur</t>
  </si>
  <si>
    <t xml:space="preserve">WSUS</t>
  </si>
  <si>
    <t xml:space="preserve">Outil ITAM dédié</t>
  </si>
  <si>
    <t xml:space="preserve">ChatGPT Free</t>
  </si>
  <si>
    <t xml:space="preserve">Macros Excel / VBA</t>
  </si>
  <si>
    <t xml:space="preserve">Quelques capteurs (température, présence)</t>
  </si>
  <si>
    <t xml:space="preserve">Partielle</t>
  </si>
  <si>
    <t xml:space="preserve">Existante mais non signée</t>
  </si>
  <si>
    <t xml:space="preserve">Plan annuel informel</t>
  </si>
  <si>
    <t xml:space="preserve">Formations ad-hoc</t>
  </si>
  <si>
    <t xml:space="preserve">Standards éditeur</t>
  </si>
  <si>
    <t xml:space="preserve">Portable Windows</t>
  </si>
  <si>
    <t xml:space="preserve">Plusieurs serveurs physiques</t>
  </si>
  <si>
    <t xml:space="preserve">NAS QNAP</t>
  </si>
  <si>
    <t xml:space="preserve">Switch managé (Aruba/Cisco/Ubiquiti)</t>
  </si>
  <si>
    <t xml:space="preserve">Fortinet (FortiGate)</t>
  </si>
  <si>
    <t xml:space="preserve">Onduleur serveur</t>
  </si>
  <si>
    <t xml:space="preserve">MFP en propriété</t>
  </si>
  <si>
    <t xml:space="preserve">Salle de visio équipée</t>
  </si>
  <si>
    <t xml:space="preserve">Fibre pro FTTO</t>
  </si>
  <si>
    <t xml:space="preserve">VLAN partiel (invités séparés)</t>
  </si>
  <si>
    <t xml:space="preserve">VPN nomades (OpenVPN/WireGuard/IPsec)</t>
  </si>
  <si>
    <t xml:space="preserve">Centrex 3CX</t>
  </si>
  <si>
    <t xml:space="preserve">Microsoft Office perpétuel / OEM</t>
  </si>
  <si>
    <t xml:space="preserve">Email Ionos / Gandi (IMAP)</t>
  </si>
  <si>
    <t xml:space="preserve">Odoo Enterprise self-hosted</t>
  </si>
  <si>
    <t xml:space="preserve">Plusieurs logiciels métier</t>
  </si>
  <si>
    <t xml:space="preserve">DocuWare</t>
  </si>
  <si>
    <t xml:space="preserve">Stack majoritairement SaaS</t>
  </si>
  <si>
    <t xml:space="preserve">AWS</t>
  </si>
  <si>
    <t xml:space="preserve">Ionos</t>
  </si>
  <si>
    <t xml:space="preserve">NAS local uniquement</t>
  </si>
  <si>
    <t xml:space="preserve">ESET</t>
  </si>
  <si>
    <t xml:space="preserve">UTM Fortinet</t>
  </si>
  <si>
    <t xml:space="preserve">NAS local seul</t>
  </si>
  <si>
    <t xml:space="preserve">MFA généralisé</t>
  </si>
  <si>
    <t xml:space="preserve">Bitwarden</t>
  </si>
  <si>
    <t xml:space="preserve">Audit externe annuel</t>
  </si>
  <si>
    <t xml:space="preserve">Plateforme dédiée (Riot/Mantra/KnowBe4/Conscio)</t>
  </si>
  <si>
    <t xml:space="preserve">RGPD conforme + DPO</t>
  </si>
  <si>
    <t xml:space="preserve">Power BI</t>
  </si>
  <si>
    <t xml:space="preserve">DPO interne</t>
  </si>
  <si>
    <t xml:space="preserve">Archivage électronique simple</t>
  </si>
  <si>
    <t xml:space="preserve">PDP choisie (à préciser)</t>
  </si>
  <si>
    <t xml:space="preserve">À jour</t>
  </si>
  <si>
    <t xml:space="preserve">Plusieurs domaines</t>
  </si>
  <si>
    <t xml:space="preserve">Vitrine WordPress</t>
  </si>
  <si>
    <t xml:space="preserve">SEO actif</t>
  </si>
  <si>
    <t xml:space="preserve">Facebook</t>
  </si>
  <si>
    <t xml:space="preserve">Brevo (ex-Sendinblue)</t>
  </si>
  <si>
    <t xml:space="preserve">COPE (matériel pro à usage perso autorisé)</t>
  </si>
  <si>
    <t xml:space="preserve">Apple Business Manager</t>
  </si>
  <si>
    <t xml:space="preserve">ZTNA</t>
  </si>
  <si>
    <t xml:space="preserve">Azure Virtual Desktop</t>
  </si>
  <si>
    <t xml:space="preserve">Forfait infogérance</t>
  </si>
  <si>
    <t xml:space="preserve">Support externalisé</t>
  </si>
  <si>
    <t xml:space="preserve">TMA externalisée</t>
  </si>
  <si>
    <t xml:space="preserve">Outil dédié (PDQ / Action1 / ManageEngine)</t>
  </si>
  <si>
    <t xml:space="preserve">Reseller / CSP partenaire (XEFI / RESOLOG)</t>
  </si>
  <si>
    <t xml:space="preserve">ChatGPT Plus / Team</t>
  </si>
  <si>
    <t xml:space="preserve">Power Automate</t>
  </si>
  <si>
    <t xml:space="preserve">Maintenance prédictive</t>
  </si>
  <si>
    <t xml:space="preserve">Complète</t>
  </si>
  <si>
    <t xml:space="preserve">Signée par les employés</t>
  </si>
  <si>
    <t xml:space="preserve">Plan annuel formalisé</t>
  </si>
  <si>
    <t xml:space="preserve">Plan de formation annuel</t>
  </si>
  <si>
    <t xml:space="preserve">Contrats sur mesure</t>
  </si>
  <si>
    <t xml:space="preserve">Mac (iMac/MacBook)</t>
  </si>
  <si>
    <t xml:space="preserve">Virtualisé Hyper-V</t>
  </si>
  <si>
    <t xml:space="preserve">NAS autre marque</t>
  </si>
  <si>
    <t xml:space="preserve">Wi-Fi grand public</t>
  </si>
  <si>
    <t xml:space="preserve">Sophos</t>
  </si>
  <si>
    <t xml:space="preserve">Plusieurs onduleurs supervisés</t>
  </si>
  <si>
    <t xml:space="preserve">MFP en location / contrat</t>
  </si>
  <si>
    <t xml:space="preserve">Affichage dynamique</t>
  </si>
  <si>
    <t xml:space="preserve">SDSL</t>
  </si>
  <si>
    <t xml:space="preserve">VLAN complet (data/voix/IoT/invités)</t>
  </si>
  <si>
    <t xml:space="preserve">ZTNA (Zero Trust)</t>
  </si>
  <si>
    <t xml:space="preserve">Centrex Wildix</t>
  </si>
  <si>
    <t xml:space="preserve">Google Workspace</t>
  </si>
  <si>
    <t xml:space="preserve">Exchange Online (Microsoft 365)</t>
  </si>
  <si>
    <t xml:space="preserve">Odoo Community</t>
  </si>
  <si>
    <t xml:space="preserve">Développement spécifique interne</t>
  </si>
  <si>
    <t xml:space="preserve">Zeendoc</t>
  </si>
  <si>
    <t xml:space="preserve">100% SaaS</t>
  </si>
  <si>
    <t xml:space="preserve">OVHcloud</t>
  </si>
  <si>
    <t xml:space="preserve">Gandi</t>
  </si>
  <si>
    <t xml:space="preserve">Veeam</t>
  </si>
  <si>
    <t xml:space="preserve">Bitdefender</t>
  </si>
  <si>
    <t xml:space="preserve">UTM Sophos</t>
  </si>
  <si>
    <t xml:space="preserve">Cloud uniquement</t>
  </si>
  <si>
    <t xml:space="preserve">SSO Entra ID (Azure AD)</t>
  </si>
  <si>
    <t xml:space="preserve">1Password</t>
  </si>
  <si>
    <t xml:space="preserve">Pentest régulier</t>
  </si>
  <si>
    <t xml:space="preserve">Simulations de phishing régulières</t>
  </si>
  <si>
    <t xml:space="preserve">ISO 27001</t>
  </si>
  <si>
    <t xml:space="preserve">Tableau</t>
  </si>
  <si>
    <t xml:space="preserve">DPO externe</t>
  </si>
  <si>
    <t xml:space="preserve">Archivage à valeur probante (Locarchives/Arkhinéo)</t>
  </si>
  <si>
    <t xml:space="preserve">Conforme via Odoo</t>
  </si>
  <si>
    <t xml:space="preserve">Rédigées par avocat / juriste</t>
  </si>
  <si>
    <t xml:space="preserve">Inconnu</t>
  </si>
  <si>
    <t xml:space="preserve">E-commerce Prestashop</t>
  </si>
  <si>
    <t xml:space="preserve">SEA actif (Google Ads)</t>
  </si>
  <si>
    <t xml:space="preserve">Instagram</t>
  </si>
  <si>
    <t xml:space="preserve">HubSpot</t>
  </si>
  <si>
    <t xml:space="preserve">Flotte pro dédiée</t>
  </si>
  <si>
    <t xml:space="preserve">Google Workspace MDM</t>
  </si>
  <si>
    <t xml:space="preserve">RDP via VPN</t>
  </si>
  <si>
    <t xml:space="preserve">Windows 365</t>
  </si>
  <si>
    <t xml:space="preserve">Infogérance complète 24/7</t>
  </si>
  <si>
    <t xml:space="preserve">Hotline éditeur uniquement</t>
  </si>
  <si>
    <t xml:space="preserve">Dev interne</t>
  </si>
  <si>
    <t xml:space="preserve">RMM (NinjaOne / Datto / ConnectWise)</t>
  </si>
  <si>
    <t xml:space="preserve">Mix</t>
  </si>
  <si>
    <t xml:space="preserve">ChatGPT Enterprise</t>
  </si>
  <si>
    <t xml:space="preserve">n8n</t>
  </si>
  <si>
    <t xml:space="preserve">Plateforme IoT dédiée</t>
  </si>
  <si>
    <t xml:space="preserve">Politique de sécurité formalisée</t>
  </si>
  <si>
    <t xml:space="preserve">Roadmap 3-5 ans</t>
  </si>
  <si>
    <t xml:space="preserve">Plateforme e-learning</t>
  </si>
  <si>
    <t xml:space="preserve">Avocat / DPO dédié</t>
  </si>
  <si>
    <t xml:space="preserve">Mix Windows + Mac</t>
  </si>
  <si>
    <t xml:space="preserve">Virtualisé VMware</t>
  </si>
  <si>
    <t xml:space="preserve">Serveur de fichiers Windows</t>
  </si>
  <si>
    <t xml:space="preserve">Wi-Fi pro (UniFi/Aruba/Meraki/Omada)</t>
  </si>
  <si>
    <t xml:space="preserve">WatchGuard</t>
  </si>
  <si>
    <t xml:space="preserve">Solution GED</t>
  </si>
  <si>
    <t xml:space="preserve">Écrans interactifs</t>
  </si>
  <si>
    <t xml:space="preserve">4G / 5G</t>
  </si>
  <si>
    <t xml:space="preserve">SD-WAN</t>
  </si>
  <si>
    <t xml:space="preserve">Centrex Sewan / Centile</t>
  </si>
  <si>
    <t xml:space="preserve">LibreOffice / OpenOffice</t>
  </si>
  <si>
    <t xml:space="preserve">Exchange On-Premise</t>
  </si>
  <si>
    <t xml:space="preserve">Sage 50 / 100</t>
  </si>
  <si>
    <t xml:space="preserve">M-Files</t>
  </si>
  <si>
    <t xml:space="preserve">Scaleway</t>
  </si>
  <si>
    <t xml:space="preserve">Hostinger</t>
  </si>
  <si>
    <t xml:space="preserve">Datto</t>
  </si>
  <si>
    <t xml:space="preserve">Kaspersky</t>
  </si>
  <si>
    <t xml:space="preserve">Filtrage DNS (Umbrella/NextDNS/DNSFilter)</t>
  </si>
  <si>
    <t xml:space="preserve">Règle 3-2-1 complète</t>
  </si>
  <si>
    <t xml:space="preserve">SSO Google Workspace</t>
  </si>
  <si>
    <t xml:space="preserve">LastPass</t>
  </si>
  <si>
    <t xml:space="preserve">Bug bounty</t>
  </si>
  <si>
    <t xml:space="preserve">NIS 2 concerné</t>
  </si>
  <si>
    <t xml:space="preserve">Qlik</t>
  </si>
  <si>
    <t xml:space="preserve">Conforme via éditeur ERP</t>
  </si>
  <si>
    <t xml:space="preserve">E-commerce WooCommerce</t>
  </si>
  <si>
    <t xml:space="preserve">Agence web dédiée</t>
  </si>
  <si>
    <t xml:space="preserve">TikTok</t>
  </si>
  <si>
    <t xml:space="preserve">ActiveCampaign</t>
  </si>
  <si>
    <t xml:space="preserve">Jamf</t>
  </si>
  <si>
    <t xml:space="preserve">TeamViewer / AnyDesk</t>
  </si>
  <si>
    <t xml:space="preserve">Citrix</t>
  </si>
  <si>
    <t xml:space="preserve">XEFI</t>
  </si>
  <si>
    <t xml:space="preserve">Microsoft 365 Copilot</t>
  </si>
  <si>
    <t xml:space="preserve">Zapier / Make</t>
  </si>
  <si>
    <t xml:space="preserve">Sensibilisation IA spécifique</t>
  </si>
  <si>
    <t xml:space="preserve">Thin client</t>
  </si>
  <si>
    <t xml:space="preserve">Virtualisé Proxmox</t>
  </si>
  <si>
    <t xml:space="preserve">SAN dédié</t>
  </si>
  <si>
    <t xml:space="preserve">Architecture VLAN complète</t>
  </si>
  <si>
    <t xml:space="preserve">pfSense / OPNsense</t>
  </si>
  <si>
    <t xml:space="preserve">TPE de paiement</t>
  </si>
  <si>
    <t xml:space="preserve">Lien principal + secours 4G/5G</t>
  </si>
  <si>
    <t xml:space="preserve">Centrex Ringover / Aircall</t>
  </si>
  <si>
    <t xml:space="preserve">Google Workspace (Gmail)</t>
  </si>
  <si>
    <t xml:space="preserve">Sage X3</t>
  </si>
  <si>
    <t xml:space="preserve">Open Bee</t>
  </si>
  <si>
    <t xml:space="preserve">Google Cloud</t>
  </si>
  <si>
    <t xml:space="preserve">Auto-hébergement</t>
  </si>
  <si>
    <t xml:space="preserve">Acronis</t>
  </si>
  <si>
    <t xml:space="preserve">EDR SentinelOne</t>
  </si>
  <si>
    <t xml:space="preserve">Anti-spam Vade</t>
  </si>
  <si>
    <t xml:space="preserve">PRA documenté</t>
  </si>
  <si>
    <t xml:space="preserve">IAM dédié (Okta/Auth0)</t>
  </si>
  <si>
    <t xml:space="preserve">Dashlane</t>
  </si>
  <si>
    <t xml:space="preserve">NIS 2 conforme</t>
  </si>
  <si>
    <t xml:space="preserve">Looker Studio</t>
  </si>
  <si>
    <t xml:space="preserve">Conforme via plateforme dédiée</t>
  </si>
  <si>
    <t xml:space="preserve">E-commerce Shopify</t>
  </si>
  <si>
    <t xml:space="preserve">Plusieurs réseaux</t>
  </si>
  <si>
    <t xml:space="preserve">Mailjet</t>
  </si>
  <si>
    <t xml:space="preserve">Ivanti / MobileIron</t>
  </si>
  <si>
    <t xml:space="preserve">VMware Horizon</t>
  </si>
  <si>
    <t xml:space="preserve">Autre prestataire</t>
  </si>
  <si>
    <t xml:space="preserve">Claude (Anthropic)</t>
  </si>
  <si>
    <t xml:space="preserve">Workflows ERP (Odoo, etc.)</t>
  </si>
  <si>
    <t xml:space="preserve">Chromebook</t>
  </si>
  <si>
    <t xml:space="preserve">Hyperconvergé (Nutanix/vSAN)</t>
  </si>
  <si>
    <t xml:space="preserve">OneDrive / SharePoint</t>
  </si>
  <si>
    <t xml:space="preserve">Cisco / Meraki</t>
  </si>
  <si>
    <t xml:space="preserve">Douchettes / scanners code-barre</t>
  </si>
  <si>
    <t xml:space="preserve">IPBX on-premise (3CX/Yeastar/Asterisk)</t>
  </si>
  <si>
    <t xml:space="preserve">Zimbra</t>
  </si>
  <si>
    <t xml:space="preserve">EBP</t>
  </si>
  <si>
    <t xml:space="preserve">Yousign</t>
  </si>
  <si>
    <t xml:space="preserve">Mix multi-cloud</t>
  </si>
  <si>
    <t xml:space="preserve">Wix / Squarespace / WordPress.com</t>
  </si>
  <si>
    <t xml:space="preserve">Wasabi / Backblaze B2</t>
  </si>
  <si>
    <t xml:space="preserve">EDR CrowdStrike</t>
  </si>
  <si>
    <t xml:space="preserve">Anti-spam Mailinblack</t>
  </si>
  <si>
    <t xml:space="preserve">PRA documenté ET testé</t>
  </si>
  <si>
    <t xml:space="preserve">KeePass</t>
  </si>
  <si>
    <t xml:space="preserve">Metabase</t>
  </si>
  <si>
    <t xml:space="preserve">E-commerce Magento</t>
  </si>
  <si>
    <t xml:space="preserve">Community manager dédié</t>
  </si>
  <si>
    <t xml:space="preserve">Marketing automation Odoo</t>
  </si>
  <si>
    <t xml:space="preserve">Mix interne / externe</t>
  </si>
  <si>
    <t xml:space="preserve">Gemini</t>
  </si>
  <si>
    <t xml:space="preserve">Autre</t>
  </si>
  <si>
    <t xml:space="preserve">NAS faisant office de serveur</t>
  </si>
  <si>
    <t xml:space="preserve">Google Drive</t>
  </si>
  <si>
    <t xml:space="preserve">Téléphonie box opérateur</t>
  </si>
  <si>
    <t xml:space="preserve">Bluemind</t>
  </si>
  <si>
    <t xml:space="preserve">Cegid</t>
  </si>
  <si>
    <t xml:space="preserve">DocuSign</t>
  </si>
  <si>
    <t xml:space="preserve">Sauvegarde NAS vers cloud</t>
  </si>
  <si>
    <t xml:space="preserve">EDR Sophos Intercept X</t>
  </si>
  <si>
    <t xml:space="preserve">Anti-spam Altospam</t>
  </si>
  <si>
    <t xml:space="preserve">PCA en place</t>
  </si>
  <si>
    <t xml:space="preserve">BI intégré à l'ERP</t>
  </si>
  <si>
    <t xml:space="preserve">Site sur mesure</t>
  </si>
  <si>
    <t xml:space="preserve">Mistral / Le Chat</t>
  </si>
  <si>
    <t xml:space="preserve">Cloud uniquement (Azure/AWS/OVH)</t>
  </si>
  <si>
    <t xml:space="preserve">Mix local + cloud</t>
  </si>
  <si>
    <t xml:space="preserve">Mobiles uniquement</t>
  </si>
  <si>
    <t xml:space="preserve">Mailbox grand public (Orange/Free/Gmail perso)</t>
  </si>
  <si>
    <t xml:space="preserve">Dynamics 365 / Business Central</t>
  </si>
  <si>
    <t xml:space="preserve">Universign</t>
  </si>
  <si>
    <t xml:space="preserve">Backup M365 (AvePoint/Veeam/SkyKick)</t>
  </si>
  <si>
    <t xml:space="preserve">Microsoft Defender for Endpoint</t>
  </si>
  <si>
    <t xml:space="preserve">Anti-spam Microsoft Defender</t>
  </si>
  <si>
    <t xml:space="preserve">Réseaux sociaux uniquement</t>
  </si>
  <si>
    <t xml:space="preserve">Auto-hébergée (Ollama / OpenWebUI)</t>
  </si>
  <si>
    <t xml:space="preserve">SAP Business One</t>
  </si>
  <si>
    <t xml:space="preserve">Adobe Sign</t>
  </si>
  <si>
    <t xml:space="preserve">XDR / SOC managé</t>
  </si>
  <si>
    <t xml:space="preserve">SAP S/4HANA</t>
  </si>
  <si>
    <t xml:space="preserve">Salesforce</t>
  </si>
  <si>
    <t xml:space="preserve">Pipedrive</t>
  </si>
  <si>
    <t xml:space="preserve">Excel / manuel</t>
  </si>
  <si>
    <t xml:space="preserve">Mix de plusieurs outils</t>
  </si>
  <si>
    <t xml:space="preserve">#</t>
  </si>
  <si>
    <t xml:space="preserve">Élément</t>
  </si>
  <si>
    <t xml:space="preserve">IA</t>
  </si>
  <si>
    <t xml:space="preserve">Réponse client</t>
  </si>
  <si>
    <t xml:space="preserve">Précision / autre</t>
  </si>
  <si>
    <t xml:space="preserve">Apport IA</t>
  </si>
  <si>
    <t xml:space="preserve">Postes de travail (fixes, portables, Mac)</t>
  </si>
  <si>
    <t xml:space="preserve">Copilot+ PC, NPU, IA locale</t>
  </si>
  <si>
    <t xml:space="preserve">Serveurs (physiques, virtualisés, hyperconvergés)</t>
  </si>
  <si>
    <t xml:space="preserve">Stockage : NAS, SAN, baies</t>
  </si>
  <si>
    <t xml:space="preserve">Classification et reconnaissance auto</t>
  </si>
  <si>
    <t xml:space="preserve">Équipements réseau : switchs, Wi-Fi, routeurs</t>
  </si>
  <si>
    <t xml:space="preserve">AIOps, optimisation Wi-Fi</t>
  </si>
  <si>
    <t xml:space="preserve">Pare-feu</t>
  </si>
  <si>
    <t xml:space="preserve">Détection comportementale par IA</t>
  </si>
  <si>
    <t xml:space="preserve">Onduleurs</t>
  </si>
  <si>
    <t xml:space="preserve">Périphériques : MFP, scanners, TPE, douchettes</t>
  </si>
  <si>
    <t xml:space="preserve">OCR, extraction intelligente</t>
  </si>
  <si>
    <t xml:space="preserve">Audiovisuel : visio, écrans, affichage dynamique</t>
  </si>
  <si>
    <t xml:space="preserve">Transcription, sous-titres, cadrage auto</t>
  </si>
  <si>
    <t xml:space="preserve">Synthèse</t>
  </si>
  <si>
    <t xml:space="preserve">réponses sur 8 (dont 6 IA — 75%)</t>
  </si>
  <si>
    <t xml:space="preserve">← Retour au sommaire</t>
  </si>
  <si>
    <t xml:space="preserve">Accès Internet</t>
  </si>
  <si>
    <t xml:space="preserve">Réseau LAN / Wi-Fi pro / VLAN</t>
  </si>
  <si>
    <t xml:space="preserve">Supervision et auto-tuning IA</t>
  </si>
  <si>
    <t xml:space="preserve">VPN / SD-WAN / ZTNA</t>
  </si>
  <si>
    <t xml:space="preserve">Routage intelligent, scoring</t>
  </si>
  <si>
    <t xml:space="preserve">Téléphonie IP / standard / mobiles</t>
  </si>
  <si>
    <t xml:space="preserve">SVI conversationnel, voicebots, transcription</t>
  </si>
  <si>
    <t xml:space="preserve">réponses sur 4 (dont 3 IA — 75%)</t>
  </si>
  <si>
    <t xml:space="preserve">Suite bureautique</t>
  </si>
  <si>
    <t xml:space="preserve">Copilot M365, Gemini</t>
  </si>
  <si>
    <t xml:space="preserve">Messagerie pro + collaboration</t>
  </si>
  <si>
    <t xml:space="preserve">Résumés, rédaction, recherche sémantique</t>
  </si>
  <si>
    <t xml:space="preserve">ERP / CRM / compta / paie / RH</t>
  </si>
  <si>
    <t xml:space="preserve">Odoo AI, Sage Copilot, prévisions, scoring</t>
  </si>
  <si>
    <t xml:space="preserve">Logiciels métiers verticaux</t>
  </si>
  <si>
    <t xml:space="preserve">IA intégrée par les éditeurs</t>
  </si>
  <si>
    <t xml:space="preserve">GED / signature électronique / coffre-fort</t>
  </si>
  <si>
    <t xml:space="preserve">Classement, extraction, recherche IA</t>
  </si>
  <si>
    <t xml:space="preserve">réponses sur 5 (dont 5 IA — 100%)</t>
  </si>
  <si>
    <t xml:space="preserve">SaaS</t>
  </si>
  <si>
    <t xml:space="preserve">IA native dans la plupart des suites</t>
  </si>
  <si>
    <t xml:space="preserve">IaaS / PaaS</t>
  </si>
  <si>
    <t xml:space="preserve">Azure OpenAI, AWS Bedrock, services cognitifs</t>
  </si>
  <si>
    <t xml:space="preserve">Hébergement web / messagerie</t>
  </si>
  <si>
    <t xml:space="preserve">Sauvegarde cloud / réplication</t>
  </si>
  <si>
    <t xml:space="preserve">Détection d'anomalies, anti-ransomware IA</t>
  </si>
  <si>
    <t xml:space="preserve">Antivirus / EDR / XDR / SOC</t>
  </si>
  <si>
    <t xml:space="preserve">Détection comportementale, SOC augmenté</t>
  </si>
  <si>
    <t xml:space="preserve">Pare-feu / filtrage web / anti-spam</t>
  </si>
  <si>
    <t xml:space="preserve">Filtrage IA, anti-phishing</t>
  </si>
  <si>
    <t xml:space="preserve">Sauvegardes / PRA / PCA</t>
  </si>
  <si>
    <t xml:space="preserve">Détection ransomware par IA</t>
  </si>
  <si>
    <t xml:space="preserve">MFA / SSO / IAM</t>
  </si>
  <si>
    <t xml:space="preserve">Analyse de risque adaptative</t>
  </si>
  <si>
    <t xml:space="preserve">Gestion des mots de passe</t>
  </si>
  <si>
    <t xml:space="preserve">Audits / pentests</t>
  </si>
  <si>
    <t xml:space="preserve">Outils IA d'analyse de vulnérabilités</t>
  </si>
  <si>
    <t xml:space="preserve">Sensibilisation utilisateurs</t>
  </si>
  <si>
    <t xml:space="preserve">Simulations phishing IA, formations adaptatives</t>
  </si>
  <si>
    <t xml:space="preserve">Conformité (RGPD, NIS 2, ISO 27001)</t>
  </si>
  <si>
    <t xml:space="preserve">Assistants de conformité IA</t>
  </si>
  <si>
    <t xml:space="preserve">réponses sur 8 (dont 7 IA — 88%)</t>
  </si>
  <si>
    <t xml:space="preserve">BI / reporting / data</t>
  </si>
  <si>
    <t xml:space="preserve">Power BI Copilot, NL→SQL, prévisions</t>
  </si>
  <si>
    <t xml:space="preserve">RGPD (registre, DPO)</t>
  </si>
  <si>
    <t xml:space="preserve">Assistants juridiques IA</t>
  </si>
  <si>
    <t xml:space="preserve">Archivage à valeur probante</t>
  </si>
  <si>
    <t xml:space="preserve">Classification automatique</t>
  </si>
  <si>
    <t xml:space="preserve">Facturation électronique (réforme 2026)</t>
  </si>
  <si>
    <t xml:space="preserve">Extraction et rapprochement IA</t>
  </si>
  <si>
    <t xml:space="preserve">Mentions légales / CGU / CGV</t>
  </si>
  <si>
    <t xml:space="preserve">Génération assistée IA</t>
  </si>
  <si>
    <t xml:space="preserve">Nom de domaine</t>
  </si>
  <si>
    <t xml:space="preserve">Site web / e-commerce</t>
  </si>
  <si>
    <t xml:space="preserve">Chatbots, recommandations, recherche IA</t>
  </si>
  <si>
    <t xml:space="preserve">SEO / SEA / Google Business Profile</t>
  </si>
  <si>
    <t xml:space="preserve">Rédaction, analyse, optimisation IA</t>
  </si>
  <si>
    <t xml:space="preserve">Réseaux sociaux</t>
  </si>
  <si>
    <t xml:space="preserve">Création de contenu et planification IA</t>
  </si>
  <si>
    <t xml:space="preserve">Emailing / marketing automation</t>
  </si>
  <si>
    <t xml:space="preserve">Personnalisation, A/B testing IA</t>
  </si>
  <si>
    <t xml:space="preserve">réponses sur 5 (dont 4 IA — 80%)</t>
  </si>
  <si>
    <t xml:space="preserve">Smartphones / tablettes pro</t>
  </si>
  <si>
    <t xml:space="preserve">Apple Intelligence, Galaxy AI</t>
  </si>
  <si>
    <t xml:space="preserve">MDM / gestion de flotte</t>
  </si>
  <si>
    <t xml:space="preserve">Détection d'usage anormal</t>
  </si>
  <si>
    <t xml:space="preserve">Accès distant sécurisé</t>
  </si>
  <si>
    <t xml:space="preserve">Scoring de risque IA</t>
  </si>
  <si>
    <t xml:space="preserve">Postes nomades / virtualisation</t>
  </si>
  <si>
    <t xml:space="preserve">Infogérance / supervision</t>
  </si>
  <si>
    <t xml:space="preserve">AIOps, supervision prédictive</t>
  </si>
  <si>
    <t xml:space="preserve">Help desk / support utilisateurs</t>
  </si>
  <si>
    <t xml:space="preserve">Agents IA niveau 1, copilotes techniciens</t>
  </si>
  <si>
    <t xml:space="preserve">TMA</t>
  </si>
  <si>
    <t xml:space="preserve">Assistants de dev, génération de code</t>
  </si>
  <si>
    <t xml:space="preserve">Patch management / MCO</t>
  </si>
  <si>
    <t xml:space="preserve">Priorisation IA des vulnérabilités</t>
  </si>
  <si>
    <t xml:space="preserve">Gestion des licences / abonnements</t>
  </si>
  <si>
    <t xml:space="preserve">Optimisation, FinOps IA</t>
  </si>
  <si>
    <t xml:space="preserve">IA générative</t>
  </si>
  <si>
    <t xml:space="preserve">Cœur de l'offre IA</t>
  </si>
  <si>
    <t xml:space="preserve">Automatisation / RPA / workflows</t>
  </si>
  <si>
    <t xml:space="preserve">Nœuds IA, agents autonomes</t>
  </si>
  <si>
    <t xml:space="preserve">IoT / capteurs</t>
  </si>
  <si>
    <t xml:space="preserve">Dématérialisation des process</t>
  </si>
  <si>
    <t xml:space="preserve">Extraction et traitement IA</t>
  </si>
  <si>
    <t xml:space="preserve">réponses sur 4 (dont 4 IA — 100%)</t>
  </si>
  <si>
    <t xml:space="preserve">Charte informatique / politique sécurité</t>
  </si>
  <si>
    <t xml:space="preserve">Charte IA, AI Act</t>
  </si>
  <si>
    <t xml:space="preserve">Schéma directeur SI / budget IT</t>
  </si>
  <si>
    <t xml:space="preserve">Formation / acculturation IA</t>
  </si>
  <si>
    <t xml:space="preserve">Formations IA personnalisées</t>
  </si>
  <si>
    <t xml:space="preserve">Contrats SLA / RGPD / sous-traitance</t>
  </si>
  <si>
    <t xml:space="preserve">Analyse contractuelle 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</si>
</sst>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i val="true"/>
      <sz val="11"/>
      <color rgb="FF1F1F1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6"/>
      <color rgb="FF00A651"/>
      <name val="Calibri"/>
      <family val="0"/>
      <charset val="1"/>
    </font>
    <font>
      <sz val="11"/>
      <color rgb="FF1F1F1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u val="single"/>
      <sz val="11"/>
      <color rgb="FF0070C0"/>
      <name val="Calibri"/>
      <family val="0"/>
      <charset val="1"/>
    </font>
    <font>
      <b val="true"/>
      <sz val="11"/>
      <color rgb="FF00A651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8"/>
      <color rgb="FF00A651"/>
      <name val="Calibri"/>
      <family val="0"/>
      <charset val="1"/>
    </font>
    <font>
      <b val="true"/>
      <sz val="18"/>
      <color rgb="FFBFBFBF"/>
      <name val="Calibri"/>
      <family val="0"/>
      <charset val="1"/>
    </font>
    <font>
      <i val="true"/>
      <u val="single"/>
      <sz val="10"/>
      <color rgb="FF0070C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8102E"/>
        <bgColor rgb="FF993300"/>
      </patternFill>
    </fill>
    <fill>
      <patternFill patternType="solid">
        <fgColor rgb="FF1F1F1F"/>
        <bgColor rgb="FF333300"/>
      </patternFill>
    </fill>
    <fill>
      <patternFill patternType="solid">
        <fgColor rgb="FFF4F4F4"/>
        <bgColor rgb="FFFFF8E1"/>
      </patternFill>
    </fill>
    <fill>
      <patternFill patternType="solid">
        <fgColor rgb="FFFFF8E1"/>
        <bgColor rgb="FFF4F4F4"/>
      </patternFill>
    </fill>
    <fill>
      <patternFill patternType="solid">
        <fgColor rgb="FF00A651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E1"/>
      <rgbColor rgb="FFF4F4F4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00A651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Questionnaire_qualification_IA_TPE_PME.xlsx" TargetMode="External"/><Relationship Id="rId2" Type="http://schemas.openxmlformats.org/officeDocument/2006/relationships/hyperlink" Target="Questionnaire_qualification_IA_TPE_PME.xlsx" TargetMode="External"/><Relationship Id="rId3" Type="http://schemas.openxmlformats.org/officeDocument/2006/relationships/hyperlink" Target="Questionnaire_qualification_IA_TPE_PME.xlsx" TargetMode="External"/><Relationship Id="rId4" Type="http://schemas.openxmlformats.org/officeDocument/2006/relationships/hyperlink" Target="Questionnaire_qualification_IA_TPE_PME.xlsx" TargetMode="External"/><Relationship Id="rId5" Type="http://schemas.openxmlformats.org/officeDocument/2006/relationships/hyperlink" Target="Questionnaire_qualification_IA_TPE_PME.xlsx" TargetMode="External"/><Relationship Id="rId6" Type="http://schemas.openxmlformats.org/officeDocument/2006/relationships/hyperlink" Target="Questionnaire_qualification_IA_TPE_PME.xlsx" TargetMode="External"/><Relationship Id="rId7" Type="http://schemas.openxmlformats.org/officeDocument/2006/relationships/hyperlink" Target="Questionnaire_qualification_IA_TPE_PME.xlsx" TargetMode="External"/><Relationship Id="rId8" Type="http://schemas.openxmlformats.org/officeDocument/2006/relationships/hyperlink" Target="Questionnaire_qualification_IA_TPE_PME.xlsx" TargetMode="External"/><Relationship Id="rId9" Type="http://schemas.openxmlformats.org/officeDocument/2006/relationships/hyperlink" Target="Questionnaire_qualification_IA_TPE_PME.xlsx" TargetMode="External"/><Relationship Id="rId10" Type="http://schemas.openxmlformats.org/officeDocument/2006/relationships/hyperlink" Target="Questionnaire_qualification_IA_TPE_PME.xlsx" TargetMode="External"/><Relationship Id="rId11" Type="http://schemas.openxmlformats.org/officeDocument/2006/relationships/hyperlink" Target="Questionnaire_qualification_IA_TPE_PME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Questionnaire_qualification_IA_TPE_PME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Questionnaire_qualification_IA_TPE_PME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Questionnaire_qualification_IA_TPE_PME.xls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Questionnaire_qualification_IA_TPE_PME.xls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Questionnaire_qualification_IA_TPE_PME.xlsx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Questionnaire_qualification_IA_TPE_PME.xls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Questionnaire_qualification_IA_TPE_PME.xls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Questionnaire_qualification_IA_TPE_PME.xlsx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Questionnaire_qualification_IA_TPE_PME.xlsx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Questionnaire_qualification_IA_TPE_PME.xlsx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Questionnaire_qualification_IA_TPE_PME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4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</row>
    <row r="3" customFormat="false" ht="27.75" hidden="false" customHeight="true" outlineLevel="0" collapsed="false">
      <c r="B3" s="1"/>
      <c r="C3" s="1"/>
      <c r="D3" s="1"/>
      <c r="E3" s="1"/>
      <c r="F3" s="1"/>
    </row>
    <row r="4" customFormat="false" ht="15" hidden="false" customHeight="true" outlineLevel="0" collapsed="false">
      <c r="B4" s="2" t="s">
        <v>1</v>
      </c>
      <c r="C4" s="2"/>
      <c r="D4" s="2"/>
      <c r="E4" s="2"/>
      <c r="F4" s="2"/>
    </row>
    <row r="6" customFormat="false" ht="41.75" hidden="false" customHeight="false" outlineLevel="0" collapsed="false">
      <c r="B6" s="3" t="s">
        <v>2</v>
      </c>
      <c r="C6" s="4" t="s">
        <v>3</v>
      </c>
      <c r="D6" s="5" t="s">
        <v>4</v>
      </c>
    </row>
    <row r="8" customFormat="false" ht="15" hidden="false" customHeight="false" outlineLevel="0" collapsed="false">
      <c r="B8" s="6" t="s">
        <v>5</v>
      </c>
      <c r="C8" s="6" t="s">
        <v>6</v>
      </c>
      <c r="D8" s="6" t="s">
        <v>7</v>
      </c>
      <c r="E8" s="6" t="s">
        <v>8</v>
      </c>
      <c r="F8" s="6" t="s">
        <v>9</v>
      </c>
    </row>
    <row r="9" customFormat="false" ht="15" hidden="false" customHeight="false" outlineLevel="0" collapsed="false">
      <c r="B9" s="7" t="s">
        <v>10</v>
      </c>
      <c r="C9" s="8" t="n">
        <v>8</v>
      </c>
      <c r="D9" s="9" t="n">
        <v>6</v>
      </c>
      <c r="E9" s="10" t="n">
        <f aca="false">D9/C9</f>
        <v>0.75</v>
      </c>
      <c r="F9" s="8" t="str">
        <f aca="false">COUNTA('1. Infrastructure matérielle'!E6:E13)&amp;" / 8"</f>
        <v>0 / 8</v>
      </c>
    </row>
    <row r="10" customFormat="false" ht="15" hidden="false" customHeight="false" outlineLevel="0" collapsed="false">
      <c r="B10" s="11" t="s">
        <v>11</v>
      </c>
      <c r="C10" s="12" t="n">
        <v>4</v>
      </c>
      <c r="D10" s="13" t="n">
        <v>3</v>
      </c>
      <c r="E10" s="14" t="n">
        <f aca="false">D10/C10</f>
        <v>0.75</v>
      </c>
      <c r="F10" s="12" t="str">
        <f aca="false">COUNTA('2. Connectivité'!E6:E9)&amp;" / 4"</f>
        <v>0 / 4</v>
      </c>
    </row>
    <row r="11" customFormat="false" ht="15" hidden="false" customHeight="false" outlineLevel="0" collapsed="false">
      <c r="B11" s="7" t="s">
        <v>12</v>
      </c>
      <c r="C11" s="8" t="n">
        <v>5</v>
      </c>
      <c r="D11" s="9" t="n">
        <v>5</v>
      </c>
      <c r="E11" s="10" t="n">
        <f aca="false">D11/C11</f>
        <v>1</v>
      </c>
      <c r="F11" s="8" t="str">
        <f aca="false">COUNTA('3. Logiciels &amp; applications'!E6:E10)&amp;" / 5"</f>
        <v>0 / 5</v>
      </c>
    </row>
    <row r="12" customFormat="false" ht="15" hidden="false" customHeight="false" outlineLevel="0" collapsed="false">
      <c r="B12" s="11" t="s">
        <v>13</v>
      </c>
      <c r="C12" s="12" t="n">
        <v>4</v>
      </c>
      <c r="D12" s="13" t="n">
        <v>3</v>
      </c>
      <c r="E12" s="14" t="n">
        <f aca="false">D12/C12</f>
        <v>0.75</v>
      </c>
      <c r="F12" s="12" t="str">
        <f aca="false">COUNTA('4. Cloud'!E6:E9)&amp;" / 4"</f>
        <v>0 / 4</v>
      </c>
    </row>
    <row r="13" customFormat="false" ht="15" hidden="false" customHeight="false" outlineLevel="0" collapsed="false">
      <c r="B13" s="7" t="s">
        <v>14</v>
      </c>
      <c r="C13" s="8" t="n">
        <v>8</v>
      </c>
      <c r="D13" s="9" t="n">
        <v>7</v>
      </c>
      <c r="E13" s="10" t="n">
        <f aca="false">D13/C13</f>
        <v>0.875</v>
      </c>
      <c r="F13" s="8" t="str">
        <f aca="false">COUNTA('5. Cybersécurité'!E6:E13)&amp;" / 8"</f>
        <v>0 / 8</v>
      </c>
    </row>
    <row r="14" customFormat="false" ht="15" hidden="false" customHeight="false" outlineLevel="0" collapsed="false">
      <c r="B14" s="11" t="s">
        <v>15</v>
      </c>
      <c r="C14" s="12" t="n">
        <v>5</v>
      </c>
      <c r="D14" s="13" t="n">
        <v>5</v>
      </c>
      <c r="E14" s="14" t="n">
        <f aca="false">D14/C14</f>
        <v>1</v>
      </c>
      <c r="F14" s="12" t="str">
        <f aca="false">COUNTA('6. Données &amp; conformité'!E6:E10)&amp;" / 5"</f>
        <v>0 / 5</v>
      </c>
    </row>
    <row r="15" customFormat="false" ht="15" hidden="false" customHeight="false" outlineLevel="0" collapsed="false">
      <c r="B15" s="7" t="s">
        <v>16</v>
      </c>
      <c r="C15" s="8" t="n">
        <v>5</v>
      </c>
      <c r="D15" s="9" t="n">
        <v>4</v>
      </c>
      <c r="E15" s="10" t="n">
        <f aca="false">D15/C15</f>
        <v>0.8</v>
      </c>
      <c r="F15" s="8" t="str">
        <f aca="false">COUNTA('7. Présence en ligne &amp; marketin'!E6:E10)&amp;" / 5"</f>
        <v>0 / 5</v>
      </c>
    </row>
    <row r="16" customFormat="false" ht="15" hidden="false" customHeight="false" outlineLevel="0" collapsed="false">
      <c r="B16" s="11" t="s">
        <v>17</v>
      </c>
      <c r="C16" s="12" t="n">
        <v>4</v>
      </c>
      <c r="D16" s="13" t="n">
        <v>3</v>
      </c>
      <c r="E16" s="14" t="n">
        <f aca="false">D16/C16</f>
        <v>0.75</v>
      </c>
      <c r="F16" s="12" t="str">
        <f aca="false">COUNTA('8. Mobilité &amp; télétravail'!E6:E9)&amp;" / 4"</f>
        <v>0 / 4</v>
      </c>
    </row>
    <row r="17" customFormat="false" ht="15" hidden="false" customHeight="false" outlineLevel="0" collapsed="false">
      <c r="B17" s="7" t="s">
        <v>18</v>
      </c>
      <c r="C17" s="8" t="n">
        <v>5</v>
      </c>
      <c r="D17" s="9" t="n">
        <v>5</v>
      </c>
      <c r="E17" s="10" t="n">
        <f aca="false">D17/C17</f>
        <v>1</v>
      </c>
      <c r="F17" s="8" t="str">
        <f aca="false">COUNTA('9. Services &amp; exploitation'!E6:E10)&amp;" / 5"</f>
        <v>0 / 5</v>
      </c>
    </row>
    <row r="18" customFormat="false" ht="15" hidden="false" customHeight="false" outlineLevel="0" collapsed="false">
      <c r="B18" s="11" t="s">
        <v>19</v>
      </c>
      <c r="C18" s="12" t="n">
        <v>4</v>
      </c>
      <c r="D18" s="13" t="n">
        <v>4</v>
      </c>
      <c r="E18" s="14" t="n">
        <f aca="false">D18/C18</f>
        <v>1</v>
      </c>
      <c r="F18" s="12" t="str">
        <f aca="false">COUNTA('10. Innovation &amp; transformation'!E6:E9)&amp;" / 4"</f>
        <v>0 / 4</v>
      </c>
    </row>
    <row r="19" customFormat="false" ht="15" hidden="false" customHeight="false" outlineLevel="0" collapsed="false">
      <c r="B19" s="7" t="s">
        <v>20</v>
      </c>
      <c r="C19" s="8" t="n">
        <v>4</v>
      </c>
      <c r="D19" s="9" t="n">
        <v>3</v>
      </c>
      <c r="E19" s="10" t="n">
        <f aca="false">D19/C19</f>
        <v>0.75</v>
      </c>
      <c r="F19" s="8" t="str">
        <f aca="false">COUNTA('11. Gouvernance &amp; humain'!E6:E9)&amp;" / 4"</f>
        <v>0 / 4</v>
      </c>
    </row>
    <row r="20" customFormat="false" ht="15" hidden="false" customHeight="false" outlineLevel="0" collapsed="false">
      <c r="B20" s="15" t="s">
        <v>21</v>
      </c>
      <c r="C20" s="16" t="n">
        <v>56</v>
      </c>
      <c r="D20" s="16" t="n">
        <v>48</v>
      </c>
      <c r="E20" s="17" t="n">
        <f aca="false">D20/C20</f>
        <v>0.857142857142857</v>
      </c>
      <c r="F20" s="18"/>
    </row>
    <row r="23" customFormat="false" ht="23.85" hidden="false" customHeight="false" outlineLevel="0" collapsed="false">
      <c r="B23" s="19" t="s">
        <v>22</v>
      </c>
    </row>
  </sheetData>
  <mergeCells count="2">
    <mergeCell ref="B2:F3"/>
    <mergeCell ref="B4:F4"/>
  </mergeCells>
  <hyperlinks>
    <hyperlink ref="B9" r:id="rId1" location="'1.%20Infrastructure%20matérielle'!A1" display="1. Infrastructure matérielle"/>
    <hyperlink ref="B10" r:id="rId2" location="'2.%20Connectivité'!A1" display="2. Connectivité"/>
    <hyperlink ref="B11" r:id="rId3" location="'3.%20Logiciels%20&amp;%20applications'!A1" display="3. Logiciels &amp; applications"/>
    <hyperlink ref="B12" r:id="rId4" location="'4.%20Cloud'!A1" display="4. Cloud"/>
    <hyperlink ref="B13" r:id="rId5" location="'5.%20Cybersécurité'!A1" display="5. Cybersécurité"/>
    <hyperlink ref="B14" r:id="rId6" location="'6.%20Données%20&amp;%20conformité'!A1" display="6. Données &amp; conformité"/>
    <hyperlink ref="B15" r:id="rId7" location="'7.%20Présence%20en%20ligne%20&amp;%20marketin'!A1" display="7. Présence en ligne &amp; marketing"/>
    <hyperlink ref="B16" r:id="rId8" location="'8.%20Mobilité%20&amp;%20télétravail'!A1" display="8. Mobilité &amp; télétravail"/>
    <hyperlink ref="B17" r:id="rId9" location="'9.%20Services%20&amp;%20exploitation'!A1" display="9. Services &amp; exploitation"/>
    <hyperlink ref="B18" r:id="rId10" location="'10.%20Innovation%20&amp;%20transformation'!A1" display="10. Innovation &amp; transformation"/>
    <hyperlink ref="B19" r:id="rId11" location="'11.%20Gouvernance%20&amp;%20humain'!A1" display="11. Gouvernance &amp; humai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6" min="1" style="0" width="32"/>
  </cols>
  <sheetData>
    <row r="1" customFormat="false" ht="24" hidden="false" customHeight="true" outlineLevel="0" collapsed="false">
      <c r="A1" s="20" t="s">
        <v>23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3" customFormat="false" ht="15" hidden="false" customHeight="false" outlineLevel="0" collapsed="false">
      <c r="A3" s="6" t="s">
        <v>24</v>
      </c>
      <c r="B3" s="6" t="s">
        <v>25</v>
      </c>
      <c r="C3" s="6" t="s">
        <v>26</v>
      </c>
      <c r="D3" s="6" t="s">
        <v>27</v>
      </c>
      <c r="E3" s="6" t="s">
        <v>28</v>
      </c>
      <c r="F3" s="6" t="s">
        <v>29</v>
      </c>
      <c r="G3" s="6" t="s">
        <v>30</v>
      </c>
      <c r="H3" s="6" t="s">
        <v>31</v>
      </c>
      <c r="I3" s="6" t="s">
        <v>32</v>
      </c>
      <c r="J3" s="6" t="s">
        <v>33</v>
      </c>
      <c r="K3" s="6" t="s">
        <v>34</v>
      </c>
      <c r="L3" s="6" t="s">
        <v>35</v>
      </c>
      <c r="M3" s="6" t="s">
        <v>36</v>
      </c>
      <c r="N3" s="6" t="s">
        <v>37</v>
      </c>
      <c r="O3" s="6" t="s">
        <v>38</v>
      </c>
      <c r="P3" s="6" t="s">
        <v>39</v>
      </c>
      <c r="Q3" s="6" t="s">
        <v>40</v>
      </c>
      <c r="R3" s="6" t="s">
        <v>41</v>
      </c>
      <c r="S3" s="6" t="s">
        <v>42</v>
      </c>
      <c r="T3" s="6" t="s">
        <v>43</v>
      </c>
      <c r="U3" s="6" t="s">
        <v>44</v>
      </c>
      <c r="V3" s="6" t="s">
        <v>45</v>
      </c>
      <c r="W3" s="6" t="s">
        <v>46</v>
      </c>
      <c r="X3" s="6" t="s">
        <v>47</v>
      </c>
      <c r="Y3" s="6" t="s">
        <v>48</v>
      </c>
      <c r="Z3" s="6" t="s">
        <v>49</v>
      </c>
      <c r="AA3" s="6" t="s">
        <v>50</v>
      </c>
      <c r="AB3" s="6" t="s">
        <v>51</v>
      </c>
      <c r="AC3" s="6" t="s">
        <v>52</v>
      </c>
      <c r="AD3" s="6" t="s">
        <v>53</v>
      </c>
      <c r="AE3" s="6" t="s">
        <v>54</v>
      </c>
      <c r="AF3" s="6" t="s">
        <v>55</v>
      </c>
      <c r="AG3" s="6" t="s">
        <v>56</v>
      </c>
      <c r="AH3" s="6" t="s">
        <v>57</v>
      </c>
      <c r="AI3" s="6" t="s">
        <v>58</v>
      </c>
      <c r="AJ3" s="6" t="s">
        <v>59</v>
      </c>
      <c r="AK3" s="6" t="s">
        <v>60</v>
      </c>
      <c r="AL3" s="6" t="s">
        <v>61</v>
      </c>
      <c r="AM3" s="6" t="s">
        <v>62</v>
      </c>
      <c r="AN3" s="6" t="s">
        <v>63</v>
      </c>
      <c r="AO3" s="6" t="s">
        <v>64</v>
      </c>
      <c r="AP3" s="6" t="s">
        <v>65</v>
      </c>
      <c r="AQ3" s="6" t="s">
        <v>66</v>
      </c>
      <c r="AR3" s="6" t="s">
        <v>67</v>
      </c>
      <c r="AS3" s="6" t="s">
        <v>68</v>
      </c>
      <c r="AT3" s="6" t="s">
        <v>69</v>
      </c>
      <c r="AU3" s="6" t="s">
        <v>70</v>
      </c>
      <c r="AV3" s="6" t="s">
        <v>71</v>
      </c>
      <c r="AW3" s="6" t="s">
        <v>72</v>
      </c>
      <c r="AX3" s="6" t="s">
        <v>73</v>
      </c>
      <c r="AY3" s="6" t="s">
        <v>74</v>
      </c>
      <c r="AZ3" s="6" t="s">
        <v>75</v>
      </c>
      <c r="BA3" s="6" t="s">
        <v>76</v>
      </c>
      <c r="BB3" s="6" t="s">
        <v>77</v>
      </c>
      <c r="BC3" s="6" t="s">
        <v>78</v>
      </c>
      <c r="BD3" s="6" t="s">
        <v>79</v>
      </c>
    </row>
    <row r="4" customFormat="false" ht="15" hidden="false" customHeight="false" outlineLevel="0" collapsed="false">
      <c r="A4" s="21" t="s">
        <v>80</v>
      </c>
      <c r="B4" s="21" t="s">
        <v>81</v>
      </c>
      <c r="C4" s="21" t="s">
        <v>82</v>
      </c>
      <c r="D4" s="21" t="s">
        <v>83</v>
      </c>
      <c r="E4" s="21" t="s">
        <v>84</v>
      </c>
      <c r="F4" s="21" t="s">
        <v>80</v>
      </c>
      <c r="G4" s="21" t="s">
        <v>80</v>
      </c>
      <c r="H4" s="21" t="s">
        <v>80</v>
      </c>
      <c r="I4" s="21" t="s">
        <v>85</v>
      </c>
      <c r="J4" s="21" t="s">
        <v>86</v>
      </c>
      <c r="K4" s="21" t="s">
        <v>80</v>
      </c>
      <c r="L4" s="21" t="s">
        <v>87</v>
      </c>
      <c r="M4" s="21" t="s">
        <v>88</v>
      </c>
      <c r="N4" s="21" t="s">
        <v>89</v>
      </c>
      <c r="O4" s="21" t="s">
        <v>80</v>
      </c>
      <c r="P4" s="21" t="s">
        <v>80</v>
      </c>
      <c r="Q4" s="21" t="s">
        <v>88</v>
      </c>
      <c r="R4" s="21" t="s">
        <v>90</v>
      </c>
      <c r="S4" s="21" t="s">
        <v>80</v>
      </c>
      <c r="T4" s="21" t="s">
        <v>91</v>
      </c>
      <c r="U4" s="21" t="s">
        <v>92</v>
      </c>
      <c r="V4" s="21" t="s">
        <v>93</v>
      </c>
      <c r="W4" s="21" t="s">
        <v>94</v>
      </c>
      <c r="X4" s="21" t="s">
        <v>92</v>
      </c>
      <c r="Y4" s="21" t="s">
        <v>95</v>
      </c>
      <c r="Z4" s="21" t="s">
        <v>96</v>
      </c>
      <c r="AA4" s="21" t="s">
        <v>97</v>
      </c>
      <c r="AB4" s="21" t="s">
        <v>98</v>
      </c>
      <c r="AC4" s="21" t="s">
        <v>99</v>
      </c>
      <c r="AD4" s="21" t="s">
        <v>100</v>
      </c>
      <c r="AE4" s="21" t="s">
        <v>101</v>
      </c>
      <c r="AF4" s="21" t="s">
        <v>80</v>
      </c>
      <c r="AG4" s="21" t="s">
        <v>102</v>
      </c>
      <c r="AH4" s="21" t="s">
        <v>88</v>
      </c>
      <c r="AI4" s="21" t="s">
        <v>80</v>
      </c>
      <c r="AJ4" s="21" t="s">
        <v>80</v>
      </c>
      <c r="AK4" s="21" t="s">
        <v>101</v>
      </c>
      <c r="AL4" s="21" t="s">
        <v>80</v>
      </c>
      <c r="AM4" s="21" t="s">
        <v>80</v>
      </c>
      <c r="AN4" s="21" t="s">
        <v>80</v>
      </c>
      <c r="AO4" s="21" t="s">
        <v>103</v>
      </c>
      <c r="AP4" s="21" t="s">
        <v>80</v>
      </c>
      <c r="AQ4" s="21" t="s">
        <v>80</v>
      </c>
      <c r="AR4" s="21" t="s">
        <v>104</v>
      </c>
      <c r="AS4" s="21" t="s">
        <v>80</v>
      </c>
      <c r="AT4" s="21" t="s">
        <v>88</v>
      </c>
      <c r="AU4" s="21" t="s">
        <v>105</v>
      </c>
      <c r="AV4" s="21" t="s">
        <v>106</v>
      </c>
      <c r="AW4" s="21" t="s">
        <v>88</v>
      </c>
      <c r="AX4" s="21" t="s">
        <v>88</v>
      </c>
      <c r="AY4" s="21" t="s">
        <v>80</v>
      </c>
      <c r="AZ4" s="21" t="s">
        <v>88</v>
      </c>
      <c r="BA4" s="21" t="s">
        <v>88</v>
      </c>
      <c r="BB4" s="21" t="s">
        <v>80</v>
      </c>
      <c r="BC4" s="21" t="s">
        <v>88</v>
      </c>
      <c r="BD4" s="21" t="s">
        <v>80</v>
      </c>
    </row>
    <row r="5" customFormat="false" ht="28.35" hidden="false" customHeight="false" outlineLevel="0" collapsed="false">
      <c r="A5" s="21" t="s">
        <v>107</v>
      </c>
      <c r="B5" s="21" t="s">
        <v>108</v>
      </c>
      <c r="C5" s="21" t="s">
        <v>109</v>
      </c>
      <c r="D5" s="21" t="s">
        <v>110</v>
      </c>
      <c r="E5" s="21" t="s">
        <v>111</v>
      </c>
      <c r="F5" s="21" t="s">
        <v>112</v>
      </c>
      <c r="G5" s="21" t="s">
        <v>113</v>
      </c>
      <c r="H5" s="21" t="s">
        <v>114</v>
      </c>
      <c r="I5" s="21" t="s">
        <v>115</v>
      </c>
      <c r="J5" s="21" t="s">
        <v>116</v>
      </c>
      <c r="K5" s="21" t="s">
        <v>117</v>
      </c>
      <c r="L5" s="21" t="s">
        <v>118</v>
      </c>
      <c r="M5" s="21" t="s">
        <v>119</v>
      </c>
      <c r="N5" s="21" t="s">
        <v>120</v>
      </c>
      <c r="O5" s="21" t="s">
        <v>121</v>
      </c>
      <c r="P5" s="21" t="s">
        <v>122</v>
      </c>
      <c r="Q5" s="21" t="s">
        <v>123</v>
      </c>
      <c r="R5" s="21" t="s">
        <v>124</v>
      </c>
      <c r="S5" s="21" t="s">
        <v>125</v>
      </c>
      <c r="T5" s="21" t="s">
        <v>126</v>
      </c>
      <c r="U5" s="21" t="s">
        <v>127</v>
      </c>
      <c r="V5" s="21" t="s">
        <v>128</v>
      </c>
      <c r="W5" s="21" t="s">
        <v>129</v>
      </c>
      <c r="X5" s="21" t="s">
        <v>130</v>
      </c>
      <c r="Y5" s="21" t="s">
        <v>131</v>
      </c>
      <c r="Z5" s="21" t="s">
        <v>132</v>
      </c>
      <c r="AA5" s="21" t="s">
        <v>133</v>
      </c>
      <c r="AB5" s="21" t="s">
        <v>134</v>
      </c>
      <c r="AC5" s="21" t="s">
        <v>135</v>
      </c>
      <c r="AD5" s="21" t="s">
        <v>136</v>
      </c>
      <c r="AE5" s="21" t="s">
        <v>137</v>
      </c>
      <c r="AF5" s="21" t="s">
        <v>138</v>
      </c>
      <c r="AG5" s="21" t="s">
        <v>139</v>
      </c>
      <c r="AH5" s="21" t="s">
        <v>140</v>
      </c>
      <c r="AI5" s="21" t="s">
        <v>141</v>
      </c>
      <c r="AJ5" s="21" t="s">
        <v>142</v>
      </c>
      <c r="AK5" s="21" t="s">
        <v>143</v>
      </c>
      <c r="AL5" s="21" t="s">
        <v>144</v>
      </c>
      <c r="AM5" s="21" t="s">
        <v>145</v>
      </c>
      <c r="AN5" s="21" t="s">
        <v>146</v>
      </c>
      <c r="AO5" s="21" t="s">
        <v>147</v>
      </c>
      <c r="AP5" s="21" t="s">
        <v>148</v>
      </c>
      <c r="AQ5" s="21" t="s">
        <v>149</v>
      </c>
      <c r="AR5" s="21" t="s">
        <v>150</v>
      </c>
      <c r="AS5" s="21" t="s">
        <v>151</v>
      </c>
      <c r="AT5" s="21" t="s">
        <v>152</v>
      </c>
      <c r="AU5" s="21" t="s">
        <v>153</v>
      </c>
      <c r="AV5" s="21" t="s">
        <v>154</v>
      </c>
      <c r="AW5" s="21" t="s">
        <v>155</v>
      </c>
      <c r="AX5" s="21" t="s">
        <v>156</v>
      </c>
      <c r="AY5" s="21" t="s">
        <v>157</v>
      </c>
      <c r="AZ5" s="21" t="s">
        <v>158</v>
      </c>
      <c r="BA5" s="21" t="s">
        <v>159</v>
      </c>
      <c r="BB5" s="21" t="s">
        <v>160</v>
      </c>
      <c r="BC5" s="21" t="s">
        <v>161</v>
      </c>
      <c r="BD5" s="21" t="s">
        <v>162</v>
      </c>
    </row>
    <row r="6" customFormat="false" ht="28.35" hidden="false" customHeight="false" outlineLevel="0" collapsed="false">
      <c r="A6" s="21" t="s">
        <v>163</v>
      </c>
      <c r="B6" s="21" t="s">
        <v>164</v>
      </c>
      <c r="C6" s="21" t="s">
        <v>165</v>
      </c>
      <c r="D6" s="21" t="s">
        <v>166</v>
      </c>
      <c r="E6" s="21" t="s">
        <v>167</v>
      </c>
      <c r="F6" s="21" t="s">
        <v>168</v>
      </c>
      <c r="G6" s="21" t="s">
        <v>169</v>
      </c>
      <c r="H6" s="21" t="s">
        <v>170</v>
      </c>
      <c r="I6" s="21" t="s">
        <v>171</v>
      </c>
      <c r="J6" s="21" t="s">
        <v>172</v>
      </c>
      <c r="K6" s="21" t="s">
        <v>173</v>
      </c>
      <c r="L6" s="21" t="s">
        <v>174</v>
      </c>
      <c r="M6" s="21" t="s">
        <v>175</v>
      </c>
      <c r="N6" s="21" t="s">
        <v>176</v>
      </c>
      <c r="O6" s="21" t="s">
        <v>177</v>
      </c>
      <c r="P6" s="21" t="s">
        <v>178</v>
      </c>
      <c r="Q6" s="21" t="s">
        <v>179</v>
      </c>
      <c r="R6" s="21" t="s">
        <v>180</v>
      </c>
      <c r="S6" s="21" t="s">
        <v>181</v>
      </c>
      <c r="T6" s="21" t="s">
        <v>182</v>
      </c>
      <c r="U6" s="21" t="s">
        <v>183</v>
      </c>
      <c r="V6" s="21" t="s">
        <v>184</v>
      </c>
      <c r="W6" s="21" t="s">
        <v>185</v>
      </c>
      <c r="X6" s="21" t="s">
        <v>186</v>
      </c>
      <c r="Y6" s="21" t="s">
        <v>187</v>
      </c>
      <c r="Z6" s="21" t="s">
        <v>188</v>
      </c>
      <c r="AA6" s="21" t="s">
        <v>189</v>
      </c>
      <c r="AB6" s="21" t="s">
        <v>190</v>
      </c>
      <c r="AC6" s="21" t="s">
        <v>191</v>
      </c>
      <c r="AD6" s="21" t="s">
        <v>192</v>
      </c>
      <c r="AE6" s="21" t="s">
        <v>193</v>
      </c>
      <c r="AF6" s="21" t="s">
        <v>194</v>
      </c>
      <c r="AG6" s="21" t="s">
        <v>195</v>
      </c>
      <c r="AH6" s="21" t="s">
        <v>196</v>
      </c>
      <c r="AI6" s="21" t="s">
        <v>197</v>
      </c>
      <c r="AJ6" s="21" t="s">
        <v>198</v>
      </c>
      <c r="AK6" s="21" t="s">
        <v>199</v>
      </c>
      <c r="AL6" s="21" t="s">
        <v>200</v>
      </c>
      <c r="AM6" s="21" t="s">
        <v>201</v>
      </c>
      <c r="AN6" s="21" t="s">
        <v>202</v>
      </c>
      <c r="AO6" s="21" t="s">
        <v>203</v>
      </c>
      <c r="AP6" s="21" t="s">
        <v>204</v>
      </c>
      <c r="AQ6" s="21" t="s">
        <v>205</v>
      </c>
      <c r="AR6" s="21" t="s">
        <v>206</v>
      </c>
      <c r="AS6" s="21" t="s">
        <v>207</v>
      </c>
      <c r="AT6" s="21" t="s">
        <v>208</v>
      </c>
      <c r="AU6" s="21" t="s">
        <v>209</v>
      </c>
      <c r="AV6" s="21" t="s">
        <v>210</v>
      </c>
      <c r="AW6" s="21" t="s">
        <v>211</v>
      </c>
      <c r="AX6" s="21" t="s">
        <v>212</v>
      </c>
      <c r="AY6" s="21" t="s">
        <v>213</v>
      </c>
      <c r="AZ6" s="21" t="s">
        <v>214</v>
      </c>
      <c r="BA6" s="21" t="s">
        <v>215</v>
      </c>
      <c r="BB6" s="21" t="s">
        <v>216</v>
      </c>
      <c r="BC6" s="21" t="s">
        <v>217</v>
      </c>
      <c r="BD6" s="21" t="s">
        <v>218</v>
      </c>
    </row>
    <row r="7" customFormat="false" ht="28.35" hidden="false" customHeight="false" outlineLevel="0" collapsed="false">
      <c r="A7" s="21" t="s">
        <v>219</v>
      </c>
      <c r="B7" s="21" t="s">
        <v>220</v>
      </c>
      <c r="C7" s="21" t="s">
        <v>221</v>
      </c>
      <c r="D7" s="21" t="s">
        <v>222</v>
      </c>
      <c r="E7" s="21" t="s">
        <v>223</v>
      </c>
      <c r="F7" s="21" t="s">
        <v>224</v>
      </c>
      <c r="G7" s="21" t="s">
        <v>225</v>
      </c>
      <c r="H7" s="21" t="s">
        <v>226</v>
      </c>
      <c r="I7" s="21" t="s">
        <v>227</v>
      </c>
      <c r="J7" s="21" t="s">
        <v>228</v>
      </c>
      <c r="K7" s="21" t="s">
        <v>229</v>
      </c>
      <c r="L7" s="21" t="s">
        <v>230</v>
      </c>
      <c r="M7" s="21" t="s">
        <v>231</v>
      </c>
      <c r="N7" s="21" t="s">
        <v>232</v>
      </c>
      <c r="O7" s="21" t="s">
        <v>233</v>
      </c>
      <c r="P7" s="21" t="s">
        <v>234</v>
      </c>
      <c r="Q7" s="21" t="s">
        <v>235</v>
      </c>
      <c r="R7" s="21" t="s">
        <v>236</v>
      </c>
      <c r="S7" s="21" t="s">
        <v>237</v>
      </c>
      <c r="T7" s="21" t="s">
        <v>238</v>
      </c>
      <c r="U7" s="21" t="s">
        <v>239</v>
      </c>
      <c r="V7" s="21" t="s">
        <v>240</v>
      </c>
      <c r="W7" s="21" t="s">
        <v>241</v>
      </c>
      <c r="X7" s="21" t="s">
        <v>242</v>
      </c>
      <c r="Y7" s="21" t="s">
        <v>243</v>
      </c>
      <c r="Z7" s="21" t="s">
        <v>244</v>
      </c>
      <c r="AA7" s="21" t="s">
        <v>245</v>
      </c>
      <c r="AB7" s="21" t="s">
        <v>246</v>
      </c>
      <c r="AC7" s="21" t="s">
        <v>247</v>
      </c>
      <c r="AD7" s="21" t="s">
        <v>248</v>
      </c>
      <c r="AE7" s="21" t="s">
        <v>249</v>
      </c>
      <c r="AF7" s="21" t="s">
        <v>250</v>
      </c>
      <c r="AG7" s="21" t="s">
        <v>251</v>
      </c>
      <c r="AH7" s="21" t="s">
        <v>252</v>
      </c>
      <c r="AI7" s="21" t="s">
        <v>253</v>
      </c>
      <c r="AJ7" s="21" t="s">
        <v>254</v>
      </c>
      <c r="AK7" s="21" t="s">
        <v>255</v>
      </c>
      <c r="AL7" s="21" t="s">
        <v>256</v>
      </c>
      <c r="AM7" s="21" t="s">
        <v>257</v>
      </c>
      <c r="AN7" s="21" t="s">
        <v>258</v>
      </c>
      <c r="AO7" s="21" t="s">
        <v>259</v>
      </c>
      <c r="AP7" s="21" t="s">
        <v>260</v>
      </c>
      <c r="AQ7" s="21" t="s">
        <v>261</v>
      </c>
      <c r="AR7" s="21" t="s">
        <v>262</v>
      </c>
      <c r="AS7" s="21" t="s">
        <v>263</v>
      </c>
      <c r="AT7" s="21" t="s">
        <v>264</v>
      </c>
      <c r="AU7" s="21" t="s">
        <v>265</v>
      </c>
      <c r="AV7" s="21" t="s">
        <v>266</v>
      </c>
      <c r="AW7" s="21" t="s">
        <v>267</v>
      </c>
      <c r="AX7" s="21" t="s">
        <v>268</v>
      </c>
      <c r="AY7" s="21" t="s">
        <v>269</v>
      </c>
      <c r="AZ7" s="21" t="s">
        <v>253</v>
      </c>
      <c r="BA7" s="21" t="s">
        <v>270</v>
      </c>
      <c r="BB7" s="21" t="s">
        <v>271</v>
      </c>
      <c r="BC7" s="21" t="s">
        <v>272</v>
      </c>
      <c r="BD7" s="21" t="s">
        <v>273</v>
      </c>
    </row>
    <row r="8" customFormat="false" ht="28.35" hidden="false" customHeight="false" outlineLevel="0" collapsed="false">
      <c r="A8" s="21" t="s">
        <v>274</v>
      </c>
      <c r="B8" s="21" t="s">
        <v>275</v>
      </c>
      <c r="C8" s="21" t="s">
        <v>276</v>
      </c>
      <c r="D8" s="21" t="s">
        <v>277</v>
      </c>
      <c r="E8" s="21" t="s">
        <v>278</v>
      </c>
      <c r="F8" s="21" t="s">
        <v>253</v>
      </c>
      <c r="G8" s="21" t="s">
        <v>279</v>
      </c>
      <c r="H8" s="21" t="s">
        <v>280</v>
      </c>
      <c r="I8" s="21" t="s">
        <v>281</v>
      </c>
      <c r="J8" s="21" t="s">
        <v>253</v>
      </c>
      <c r="K8" s="21" t="s">
        <v>282</v>
      </c>
      <c r="L8" s="21" t="s">
        <v>283</v>
      </c>
      <c r="M8" s="21" t="s">
        <v>284</v>
      </c>
      <c r="N8" s="21" t="s">
        <v>285</v>
      </c>
      <c r="O8" s="21" t="s">
        <v>286</v>
      </c>
      <c r="P8" s="21" t="s">
        <v>253</v>
      </c>
      <c r="Q8" s="21" t="s">
        <v>287</v>
      </c>
      <c r="R8" s="21" t="s">
        <v>253</v>
      </c>
      <c r="S8" s="21" t="s">
        <v>288</v>
      </c>
      <c r="T8" s="21" t="s">
        <v>289</v>
      </c>
      <c r="U8" s="21" t="s">
        <v>290</v>
      </c>
      <c r="V8" s="21" t="s">
        <v>291</v>
      </c>
      <c r="W8" s="21" t="s">
        <v>292</v>
      </c>
      <c r="X8" s="21" t="s">
        <v>293</v>
      </c>
      <c r="Y8" s="21" t="s">
        <v>294</v>
      </c>
      <c r="Z8" s="21" t="s">
        <v>295</v>
      </c>
      <c r="AA8" s="21" t="s">
        <v>296</v>
      </c>
      <c r="AB8" s="21" t="s">
        <v>253</v>
      </c>
      <c r="AC8" s="21" t="s">
        <v>297</v>
      </c>
      <c r="AD8" s="21" t="s">
        <v>298</v>
      </c>
      <c r="AE8" s="21" t="s">
        <v>253</v>
      </c>
      <c r="AF8" s="21" t="s">
        <v>253</v>
      </c>
      <c r="AG8" s="21" t="s">
        <v>299</v>
      </c>
      <c r="AH8" s="21" t="s">
        <v>253</v>
      </c>
      <c r="AJ8" s="21" t="s">
        <v>300</v>
      </c>
      <c r="AK8" s="21" t="s">
        <v>301</v>
      </c>
      <c r="AL8" s="21" t="s">
        <v>302</v>
      </c>
      <c r="AM8" s="21" t="s">
        <v>303</v>
      </c>
      <c r="AN8" s="21" t="s">
        <v>266</v>
      </c>
      <c r="AO8" s="21" t="s">
        <v>304</v>
      </c>
      <c r="AP8" s="21" t="s">
        <v>305</v>
      </c>
      <c r="AQ8" s="21" t="s">
        <v>306</v>
      </c>
      <c r="AR8" s="21" t="s">
        <v>307</v>
      </c>
      <c r="AS8" s="21" t="s">
        <v>253</v>
      </c>
      <c r="AT8" s="21" t="s">
        <v>253</v>
      </c>
      <c r="AU8" s="21" t="s">
        <v>253</v>
      </c>
      <c r="AV8" s="21" t="s">
        <v>253</v>
      </c>
      <c r="AW8" s="21" t="s">
        <v>308</v>
      </c>
      <c r="AX8" s="21" t="s">
        <v>309</v>
      </c>
      <c r="AY8" s="21" t="s">
        <v>253</v>
      </c>
      <c r="BA8" s="21" t="s">
        <v>253</v>
      </c>
      <c r="BB8" s="21" t="s">
        <v>253</v>
      </c>
      <c r="BC8" s="21" t="s">
        <v>310</v>
      </c>
      <c r="BD8" s="21" t="s">
        <v>253</v>
      </c>
    </row>
    <row r="9" customFormat="false" ht="15" hidden="false" customHeight="false" outlineLevel="0" collapsed="false">
      <c r="A9" s="21" t="s">
        <v>311</v>
      </c>
      <c r="B9" s="21" t="s">
        <v>312</v>
      </c>
      <c r="C9" s="21" t="s">
        <v>313</v>
      </c>
      <c r="D9" s="21" t="s">
        <v>314</v>
      </c>
      <c r="E9" s="21" t="s">
        <v>315</v>
      </c>
      <c r="G9" s="21" t="s">
        <v>316</v>
      </c>
      <c r="H9" s="21" t="s">
        <v>266</v>
      </c>
      <c r="I9" s="21" t="s">
        <v>317</v>
      </c>
      <c r="K9" s="21" t="s">
        <v>266</v>
      </c>
      <c r="L9" s="21" t="s">
        <v>318</v>
      </c>
      <c r="M9" s="21" t="s">
        <v>266</v>
      </c>
      <c r="N9" s="21" t="s">
        <v>319</v>
      </c>
      <c r="O9" s="21" t="s">
        <v>320</v>
      </c>
      <c r="Q9" s="21" t="s">
        <v>321</v>
      </c>
      <c r="S9" s="21" t="s">
        <v>322</v>
      </c>
      <c r="T9" s="21" t="s">
        <v>323</v>
      </c>
      <c r="U9" s="21" t="s">
        <v>324</v>
      </c>
      <c r="V9" s="21" t="s">
        <v>325</v>
      </c>
      <c r="W9" s="21" t="s">
        <v>326</v>
      </c>
      <c r="X9" s="21" t="s">
        <v>327</v>
      </c>
      <c r="Y9" s="21" t="s">
        <v>328</v>
      </c>
      <c r="Z9" s="21" t="s">
        <v>329</v>
      </c>
      <c r="AA9" s="21" t="s">
        <v>253</v>
      </c>
      <c r="AC9" s="21" t="s">
        <v>330</v>
      </c>
      <c r="AD9" s="21" t="s">
        <v>331</v>
      </c>
      <c r="AG9" s="21" t="s">
        <v>332</v>
      </c>
      <c r="AJ9" s="21" t="s">
        <v>333</v>
      </c>
      <c r="AK9" s="21" t="s">
        <v>253</v>
      </c>
      <c r="AL9" s="21" t="s">
        <v>334</v>
      </c>
      <c r="AM9" s="21" t="s">
        <v>335</v>
      </c>
      <c r="AN9" s="21" t="s">
        <v>253</v>
      </c>
      <c r="AO9" s="21" t="s">
        <v>336</v>
      </c>
      <c r="AP9" s="21" t="s">
        <v>266</v>
      </c>
      <c r="AQ9" s="21" t="s">
        <v>337</v>
      </c>
      <c r="AR9" s="21" t="s">
        <v>338</v>
      </c>
      <c r="AW9" s="21" t="s">
        <v>339</v>
      </c>
      <c r="AX9" s="21" t="s">
        <v>340</v>
      </c>
      <c r="BC9" s="21" t="s">
        <v>253</v>
      </c>
    </row>
    <row r="10" customFormat="false" ht="28.35" hidden="false" customHeight="false" outlineLevel="0" collapsed="false">
      <c r="A10" s="21" t="s">
        <v>341</v>
      </c>
      <c r="B10" s="21" t="s">
        <v>342</v>
      </c>
      <c r="C10" s="21" t="s">
        <v>343</v>
      </c>
      <c r="D10" s="21" t="s">
        <v>266</v>
      </c>
      <c r="E10" s="21" t="s">
        <v>344</v>
      </c>
      <c r="G10" s="21" t="s">
        <v>345</v>
      </c>
      <c r="H10" s="21" t="s">
        <v>253</v>
      </c>
      <c r="I10" s="21" t="s">
        <v>266</v>
      </c>
      <c r="K10" s="21" t="s">
        <v>253</v>
      </c>
      <c r="L10" s="21" t="s">
        <v>346</v>
      </c>
      <c r="M10" s="21" t="s">
        <v>253</v>
      </c>
      <c r="N10" s="21" t="s">
        <v>347</v>
      </c>
      <c r="O10" s="21" t="s">
        <v>348</v>
      </c>
      <c r="Q10" s="21" t="s">
        <v>349</v>
      </c>
      <c r="S10" s="21" t="s">
        <v>350</v>
      </c>
      <c r="T10" s="21" t="s">
        <v>351</v>
      </c>
      <c r="U10" s="21" t="s">
        <v>352</v>
      </c>
      <c r="V10" s="21" t="s">
        <v>353</v>
      </c>
      <c r="W10" s="21" t="s">
        <v>354</v>
      </c>
      <c r="X10" s="21" t="s">
        <v>355</v>
      </c>
      <c r="Y10" s="21" t="s">
        <v>253</v>
      </c>
      <c r="Z10" s="21" t="s">
        <v>356</v>
      </c>
      <c r="AC10" s="21" t="s">
        <v>253</v>
      </c>
      <c r="AD10" s="21" t="s">
        <v>357</v>
      </c>
      <c r="AG10" s="21" t="s">
        <v>253</v>
      </c>
      <c r="AJ10" s="21" t="s">
        <v>358</v>
      </c>
      <c r="AL10" s="21" t="s">
        <v>359</v>
      </c>
      <c r="AM10" s="21" t="s">
        <v>360</v>
      </c>
      <c r="AO10" s="21" t="s">
        <v>253</v>
      </c>
      <c r="AP10" s="21" t="s">
        <v>253</v>
      </c>
      <c r="AQ10" s="21" t="s">
        <v>253</v>
      </c>
      <c r="AR10" s="21" t="s">
        <v>361</v>
      </c>
      <c r="AW10" s="21" t="s">
        <v>362</v>
      </c>
      <c r="AX10" s="21" t="s">
        <v>266</v>
      </c>
    </row>
    <row r="11" customFormat="false" ht="15" hidden="false" customHeight="false" outlineLevel="0" collapsed="false">
      <c r="A11" s="21" t="s">
        <v>363</v>
      </c>
      <c r="B11" s="21" t="s">
        <v>364</v>
      </c>
      <c r="C11" s="21" t="s">
        <v>365</v>
      </c>
      <c r="D11" s="21" t="s">
        <v>253</v>
      </c>
      <c r="E11" s="21" t="s">
        <v>363</v>
      </c>
      <c r="G11" s="21" t="s">
        <v>266</v>
      </c>
      <c r="I11" s="21" t="s">
        <v>253</v>
      </c>
      <c r="L11" s="21" t="s">
        <v>366</v>
      </c>
      <c r="N11" s="21" t="s">
        <v>367</v>
      </c>
      <c r="O11" s="21" t="s">
        <v>368</v>
      </c>
      <c r="Q11" s="21" t="s">
        <v>369</v>
      </c>
      <c r="S11" s="21" t="s">
        <v>253</v>
      </c>
      <c r="T11" s="21" t="s">
        <v>253</v>
      </c>
      <c r="U11" s="21" t="s">
        <v>370</v>
      </c>
      <c r="V11" s="21" t="s">
        <v>371</v>
      </c>
      <c r="W11" s="21" t="s">
        <v>372</v>
      </c>
      <c r="X11" s="21" t="s">
        <v>373</v>
      </c>
      <c r="Z11" s="21" t="s">
        <v>253</v>
      </c>
      <c r="AD11" s="21" t="s">
        <v>374</v>
      </c>
      <c r="AJ11" s="21" t="s">
        <v>375</v>
      </c>
      <c r="AL11" s="21" t="s">
        <v>253</v>
      </c>
      <c r="AM11" s="21" t="s">
        <v>266</v>
      </c>
      <c r="AR11" s="21" t="s">
        <v>253</v>
      </c>
      <c r="AW11" s="21" t="s">
        <v>376</v>
      </c>
      <c r="AX11" s="21" t="s">
        <v>253</v>
      </c>
    </row>
    <row r="12" customFormat="false" ht="28.35" hidden="false" customHeight="false" outlineLevel="0" collapsed="false">
      <c r="A12" s="21" t="s">
        <v>253</v>
      </c>
      <c r="B12" s="21" t="s">
        <v>377</v>
      </c>
      <c r="C12" s="21" t="s">
        <v>378</v>
      </c>
      <c r="E12" s="21" t="s">
        <v>253</v>
      </c>
      <c r="G12" s="21" t="s">
        <v>253</v>
      </c>
      <c r="L12" s="21" t="s">
        <v>379</v>
      </c>
      <c r="N12" s="21" t="s">
        <v>380</v>
      </c>
      <c r="O12" s="21" t="s">
        <v>381</v>
      </c>
      <c r="Q12" s="21" t="s">
        <v>382</v>
      </c>
      <c r="U12" s="21" t="s">
        <v>383</v>
      </c>
      <c r="V12" s="21" t="s">
        <v>384</v>
      </c>
      <c r="W12" s="21" t="s">
        <v>385</v>
      </c>
      <c r="X12" s="21" t="s">
        <v>253</v>
      </c>
      <c r="AD12" s="21" t="s">
        <v>253</v>
      </c>
      <c r="AJ12" s="21" t="s">
        <v>386</v>
      </c>
      <c r="AM12" s="21" t="s">
        <v>253</v>
      </c>
      <c r="AW12" s="21" t="s">
        <v>387</v>
      </c>
    </row>
    <row r="13" customFormat="false" ht="15" hidden="false" customHeight="false" outlineLevel="0" collapsed="false">
      <c r="B13" s="21" t="s">
        <v>266</v>
      </c>
      <c r="C13" s="21" t="s">
        <v>253</v>
      </c>
      <c r="L13" s="21" t="s">
        <v>266</v>
      </c>
      <c r="N13" s="21" t="s">
        <v>266</v>
      </c>
      <c r="O13" s="21" t="s">
        <v>388</v>
      </c>
      <c r="Q13" s="21" t="s">
        <v>389</v>
      </c>
      <c r="U13" s="21" t="s">
        <v>266</v>
      </c>
      <c r="V13" s="21" t="s">
        <v>390</v>
      </c>
      <c r="W13" s="21" t="s">
        <v>266</v>
      </c>
      <c r="AJ13" s="21" t="s">
        <v>253</v>
      </c>
      <c r="AW13" s="21" t="s">
        <v>266</v>
      </c>
    </row>
    <row r="14" customFormat="false" ht="15" hidden="false" customHeight="false" outlineLevel="0" collapsed="false">
      <c r="B14" s="21" t="s">
        <v>253</v>
      </c>
      <c r="L14" s="21" t="s">
        <v>253</v>
      </c>
      <c r="N14" s="21" t="s">
        <v>253</v>
      </c>
      <c r="O14" s="21" t="s">
        <v>391</v>
      </c>
      <c r="Q14" s="21" t="s">
        <v>266</v>
      </c>
      <c r="U14" s="21" t="s">
        <v>253</v>
      </c>
      <c r="V14" s="21" t="s">
        <v>253</v>
      </c>
      <c r="W14" s="21" t="s">
        <v>253</v>
      </c>
      <c r="AW14" s="21" t="s">
        <v>253</v>
      </c>
    </row>
    <row r="15" customFormat="false" ht="15" hidden="false" customHeight="false" outlineLevel="0" collapsed="false">
      <c r="O15" s="21" t="s">
        <v>392</v>
      </c>
      <c r="Q15" s="21" t="s">
        <v>253</v>
      </c>
    </row>
    <row r="16" customFormat="false" ht="15" hidden="false" customHeight="false" outlineLevel="0" collapsed="false">
      <c r="O16" s="21" t="s">
        <v>257</v>
      </c>
    </row>
    <row r="17" customFormat="false" ht="15" hidden="false" customHeight="false" outlineLevel="0" collapsed="false">
      <c r="O17" s="21" t="s">
        <v>393</v>
      </c>
    </row>
    <row r="18" customFormat="false" ht="15" hidden="false" customHeight="false" outlineLevel="0" collapsed="false">
      <c r="O18" s="21" t="s">
        <v>394</v>
      </c>
    </row>
    <row r="19" customFormat="false" ht="15" hidden="false" customHeight="false" outlineLevel="0" collapsed="false">
      <c r="O19" s="21" t="s">
        <v>395</v>
      </c>
    </row>
    <row r="20" customFormat="false" ht="15" hidden="false" customHeight="false" outlineLevel="0" collapsed="false">
      <c r="O20" s="21" t="s">
        <v>363</v>
      </c>
    </row>
    <row r="21" customFormat="false" ht="15" hidden="false" customHeight="false" outlineLevel="0" collapsed="false">
      <c r="O21" s="21" t="s">
        <v>253</v>
      </c>
    </row>
  </sheetData>
  <mergeCells count="1">
    <mergeCell ref="A1:Z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50"/>
    <col collapsed="false" customWidth="true" hidden="false" outlineLevel="0" max="4" min="4" style="0" width="6"/>
    <col collapsed="false" customWidth="true" hidden="false" outlineLevel="0" max="5" min="5" style="0" width="38"/>
    <col collapsed="false" customWidth="true" hidden="false" outlineLevel="0" max="6" min="6" style="0" width="30"/>
    <col collapsed="false" customWidth="true" hidden="false" outlineLevel="0" max="7" min="7" style="0" width="38"/>
  </cols>
  <sheetData>
    <row r="2" customFormat="false" ht="15" hidden="false" customHeight="true" outlineLevel="0" collapsed="false">
      <c r="B2" s="22" t="s">
        <v>10</v>
      </c>
      <c r="C2" s="22"/>
      <c r="D2" s="22"/>
      <c r="E2" s="22"/>
      <c r="F2" s="22"/>
      <c r="G2" s="22"/>
    </row>
    <row r="3" customFormat="false" ht="15" hidden="false" customHeight="false" outlineLevel="0" collapsed="false">
      <c r="B3" s="22"/>
      <c r="C3" s="22"/>
      <c r="D3" s="22"/>
      <c r="E3" s="22"/>
      <c r="F3" s="22"/>
      <c r="G3" s="22"/>
    </row>
    <row r="5" customFormat="false" ht="25.5" hidden="false" customHeight="true" outlineLevel="0" collapsed="false">
      <c r="B5" s="6" t="s">
        <v>396</v>
      </c>
      <c r="C5" s="6" t="s">
        <v>397</v>
      </c>
      <c r="D5" s="6" t="s">
        <v>398</v>
      </c>
      <c r="E5" s="6" t="s">
        <v>399</v>
      </c>
      <c r="F5" s="6" t="s">
        <v>400</v>
      </c>
      <c r="G5" s="6" t="s">
        <v>401</v>
      </c>
    </row>
    <row r="6" customFormat="false" ht="24" hidden="false" customHeight="true" outlineLevel="0" collapsed="false">
      <c r="B6" s="12" t="n">
        <v>1</v>
      </c>
      <c r="C6" s="21" t="s">
        <v>402</v>
      </c>
      <c r="D6" s="23" t="s">
        <v>3</v>
      </c>
      <c r="E6" s="24"/>
      <c r="F6" s="24"/>
      <c r="G6" s="25" t="s">
        <v>403</v>
      </c>
    </row>
    <row r="7" customFormat="false" ht="24" hidden="false" customHeight="true" outlineLevel="0" collapsed="false">
      <c r="B7" s="8" t="n">
        <v>2</v>
      </c>
      <c r="C7" s="26" t="s">
        <v>404</v>
      </c>
      <c r="D7" s="27"/>
      <c r="E7" s="24"/>
      <c r="F7" s="24"/>
      <c r="G7" s="28"/>
    </row>
    <row r="8" customFormat="false" ht="24" hidden="false" customHeight="true" outlineLevel="0" collapsed="false">
      <c r="B8" s="12" t="n">
        <v>3</v>
      </c>
      <c r="C8" s="21" t="s">
        <v>405</v>
      </c>
      <c r="D8" s="23" t="s">
        <v>3</v>
      </c>
      <c r="E8" s="24"/>
      <c r="F8" s="24"/>
      <c r="G8" s="25" t="s">
        <v>406</v>
      </c>
    </row>
    <row r="9" customFormat="false" ht="24" hidden="false" customHeight="true" outlineLevel="0" collapsed="false">
      <c r="B9" s="8" t="n">
        <v>4</v>
      </c>
      <c r="C9" s="26" t="s">
        <v>407</v>
      </c>
      <c r="D9" s="29" t="s">
        <v>3</v>
      </c>
      <c r="E9" s="24"/>
      <c r="F9" s="24"/>
      <c r="G9" s="28" t="s">
        <v>408</v>
      </c>
    </row>
    <row r="10" customFormat="false" ht="24" hidden="false" customHeight="true" outlineLevel="0" collapsed="false">
      <c r="B10" s="12" t="n">
        <v>5</v>
      </c>
      <c r="C10" s="21" t="s">
        <v>409</v>
      </c>
      <c r="D10" s="23" t="s">
        <v>3</v>
      </c>
      <c r="E10" s="24"/>
      <c r="F10" s="24"/>
      <c r="G10" s="25" t="s">
        <v>410</v>
      </c>
    </row>
    <row r="11" customFormat="false" ht="24" hidden="false" customHeight="true" outlineLevel="0" collapsed="false">
      <c r="B11" s="8" t="n">
        <v>6</v>
      </c>
      <c r="C11" s="26" t="s">
        <v>411</v>
      </c>
      <c r="D11" s="27"/>
      <c r="E11" s="24"/>
      <c r="F11" s="24"/>
      <c r="G11" s="28"/>
    </row>
    <row r="12" customFormat="false" ht="24" hidden="false" customHeight="true" outlineLevel="0" collapsed="false">
      <c r="B12" s="12" t="n">
        <v>7</v>
      </c>
      <c r="C12" s="21" t="s">
        <v>412</v>
      </c>
      <c r="D12" s="23" t="s">
        <v>3</v>
      </c>
      <c r="E12" s="24"/>
      <c r="F12" s="24"/>
      <c r="G12" s="25" t="s">
        <v>413</v>
      </c>
    </row>
    <row r="13" customFormat="false" ht="24" hidden="false" customHeight="true" outlineLevel="0" collapsed="false">
      <c r="B13" s="8" t="n">
        <v>8</v>
      </c>
      <c r="C13" s="26" t="s">
        <v>414</v>
      </c>
      <c r="D13" s="29" t="s">
        <v>3</v>
      </c>
      <c r="E13" s="24"/>
      <c r="F13" s="24"/>
      <c r="G13" s="28" t="s">
        <v>415</v>
      </c>
    </row>
    <row r="15" customFormat="false" ht="15" hidden="false" customHeight="true" outlineLevel="0" collapsed="false">
      <c r="B15" s="15" t="s">
        <v>416</v>
      </c>
      <c r="C15" s="15"/>
      <c r="D15" s="15"/>
      <c r="E15" s="30" t="n">
        <f aca="false">COUNTA(E6:E13)</f>
        <v>0</v>
      </c>
      <c r="F15" s="31" t="s">
        <v>417</v>
      </c>
      <c r="G15" s="31"/>
    </row>
    <row r="17" customFormat="false" ht="15" hidden="false" customHeight="false" outlineLevel="0" collapsed="false">
      <c r="B17" s="32" t="s">
        <v>418</v>
      </c>
    </row>
  </sheetData>
  <mergeCells count="3">
    <mergeCell ref="B2:G3"/>
    <mergeCell ref="B15:D15"/>
    <mergeCell ref="F15:G15"/>
  </mergeCells>
  <dataValidations count="8">
    <dataValidation allowBlank="true" error="Valeur non autorisée" errorStyle="stop" errorTitle="Erreur" operator="between" prompt="Sélectionner dans la liste" promptTitle="Réponse client" showDropDown="false" showErrorMessage="false" showInputMessage="false" sqref="E6" type="list">
      <formula1>Listes!$A$4:$A$12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7" type="list">
      <formula1>Listes!$B$4:$B$14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8" type="list">
      <formula1>Listes!$C$4:$C$13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9" type="list">
      <formula1>Listes!$D$4:$D$11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10" type="list">
      <formula1>Listes!$E$4:$E$12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11" type="list">
      <formula1>Listes!$F$4:$F$8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12" type="list">
      <formula1>Listes!$G$4:$G$12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13" type="list">
      <formula1>Listes!$H$4:$H$10</formula1>
      <formula2>0</formula2>
    </dataValidation>
  </dataValidations>
  <hyperlinks>
    <hyperlink ref="B17" r:id="rId1" location="Sommaire!A1" display="← Retour au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50"/>
    <col collapsed="false" customWidth="true" hidden="false" outlineLevel="0" max="4" min="4" style="0" width="6"/>
    <col collapsed="false" customWidth="true" hidden="false" outlineLevel="0" max="5" min="5" style="0" width="38"/>
    <col collapsed="false" customWidth="true" hidden="false" outlineLevel="0" max="6" min="6" style="0" width="30"/>
    <col collapsed="false" customWidth="true" hidden="false" outlineLevel="0" max="7" min="7" style="0" width="38"/>
  </cols>
  <sheetData>
    <row r="2" customFormat="false" ht="15" hidden="false" customHeight="true" outlineLevel="0" collapsed="false">
      <c r="B2" s="22" t="s">
        <v>11</v>
      </c>
      <c r="C2" s="22"/>
      <c r="D2" s="22"/>
      <c r="E2" s="22"/>
      <c r="F2" s="22"/>
      <c r="G2" s="22"/>
    </row>
    <row r="3" customFormat="false" ht="15" hidden="false" customHeight="false" outlineLevel="0" collapsed="false">
      <c r="B3" s="22"/>
      <c r="C3" s="22"/>
      <c r="D3" s="22"/>
      <c r="E3" s="22"/>
      <c r="F3" s="22"/>
      <c r="G3" s="22"/>
    </row>
    <row r="5" customFormat="false" ht="25.5" hidden="false" customHeight="true" outlineLevel="0" collapsed="false">
      <c r="B5" s="6" t="s">
        <v>396</v>
      </c>
      <c r="C5" s="6" t="s">
        <v>397</v>
      </c>
      <c r="D5" s="6" t="s">
        <v>398</v>
      </c>
      <c r="E5" s="6" t="s">
        <v>399</v>
      </c>
      <c r="F5" s="6" t="s">
        <v>400</v>
      </c>
      <c r="G5" s="6" t="s">
        <v>401</v>
      </c>
    </row>
    <row r="6" customFormat="false" ht="24" hidden="false" customHeight="true" outlineLevel="0" collapsed="false">
      <c r="B6" s="12" t="n">
        <v>1</v>
      </c>
      <c r="C6" s="21" t="s">
        <v>419</v>
      </c>
      <c r="D6" s="33"/>
      <c r="E6" s="24"/>
      <c r="F6" s="24"/>
      <c r="G6" s="25"/>
    </row>
    <row r="7" customFormat="false" ht="24" hidden="false" customHeight="true" outlineLevel="0" collapsed="false">
      <c r="B7" s="8" t="n">
        <v>2</v>
      </c>
      <c r="C7" s="26" t="s">
        <v>420</v>
      </c>
      <c r="D7" s="29" t="s">
        <v>3</v>
      </c>
      <c r="E7" s="24"/>
      <c r="F7" s="24"/>
      <c r="G7" s="28" t="s">
        <v>421</v>
      </c>
    </row>
    <row r="8" customFormat="false" ht="24" hidden="false" customHeight="true" outlineLevel="0" collapsed="false">
      <c r="B8" s="12" t="n">
        <v>3</v>
      </c>
      <c r="C8" s="21" t="s">
        <v>422</v>
      </c>
      <c r="D8" s="23" t="s">
        <v>3</v>
      </c>
      <c r="E8" s="24"/>
      <c r="F8" s="24"/>
      <c r="G8" s="25" t="s">
        <v>423</v>
      </c>
    </row>
    <row r="9" customFormat="false" ht="24" hidden="false" customHeight="true" outlineLevel="0" collapsed="false">
      <c r="B9" s="8" t="n">
        <v>4</v>
      </c>
      <c r="C9" s="26" t="s">
        <v>424</v>
      </c>
      <c r="D9" s="29" t="s">
        <v>3</v>
      </c>
      <c r="E9" s="24"/>
      <c r="F9" s="24"/>
      <c r="G9" s="28" t="s">
        <v>425</v>
      </c>
    </row>
    <row r="11" customFormat="false" ht="15" hidden="false" customHeight="true" outlineLevel="0" collapsed="false">
      <c r="B11" s="15" t="s">
        <v>416</v>
      </c>
      <c r="C11" s="15"/>
      <c r="D11" s="15"/>
      <c r="E11" s="30" t="n">
        <f aca="false">COUNTA(E6:E9)</f>
        <v>0</v>
      </c>
      <c r="F11" s="31" t="s">
        <v>426</v>
      </c>
      <c r="G11" s="31"/>
    </row>
    <row r="13" customFormat="false" ht="15" hidden="false" customHeight="false" outlineLevel="0" collapsed="false">
      <c r="B13" s="32" t="s">
        <v>418</v>
      </c>
    </row>
  </sheetData>
  <mergeCells count="3">
    <mergeCell ref="B2:G3"/>
    <mergeCell ref="B11:D11"/>
    <mergeCell ref="F11:G11"/>
  </mergeCells>
  <dataValidations count="4">
    <dataValidation allowBlank="true" error="Valeur non autorisée" errorStyle="stop" errorTitle="Erreur" operator="between" prompt="Sélectionner dans la liste" promptTitle="Réponse client" showDropDown="false" showErrorMessage="false" showInputMessage="false" sqref="E6" type="list">
      <formula1>Listes!$I$4:$I$11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7" type="list">
      <formula1>Listes!$J$4:$J$8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8" type="list">
      <formula1>Listes!$K$4:$K$10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9" type="list">
      <formula1>Listes!$L$4:$L$14</formula1>
      <formula2>0</formula2>
    </dataValidation>
  </dataValidations>
  <hyperlinks>
    <hyperlink ref="B13" r:id="rId1" location="Sommaire!A1" display="← Retour au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50"/>
    <col collapsed="false" customWidth="true" hidden="false" outlineLevel="0" max="4" min="4" style="0" width="6"/>
    <col collapsed="false" customWidth="true" hidden="false" outlineLevel="0" max="5" min="5" style="0" width="38"/>
    <col collapsed="false" customWidth="true" hidden="false" outlineLevel="0" max="6" min="6" style="0" width="30"/>
    <col collapsed="false" customWidth="true" hidden="false" outlineLevel="0" max="7" min="7" style="0" width="38"/>
  </cols>
  <sheetData>
    <row r="2" customFormat="false" ht="15" hidden="false" customHeight="true" outlineLevel="0" collapsed="false">
      <c r="B2" s="22" t="s">
        <v>12</v>
      </c>
      <c r="C2" s="22"/>
      <c r="D2" s="22"/>
      <c r="E2" s="22"/>
      <c r="F2" s="22"/>
      <c r="G2" s="22"/>
    </row>
    <row r="3" customFormat="false" ht="15" hidden="false" customHeight="false" outlineLevel="0" collapsed="false">
      <c r="B3" s="22"/>
      <c r="C3" s="22"/>
      <c r="D3" s="22"/>
      <c r="E3" s="22"/>
      <c r="F3" s="22"/>
      <c r="G3" s="22"/>
    </row>
    <row r="5" customFormat="false" ht="25.5" hidden="false" customHeight="true" outlineLevel="0" collapsed="false">
      <c r="B5" s="6" t="s">
        <v>396</v>
      </c>
      <c r="C5" s="6" t="s">
        <v>397</v>
      </c>
      <c r="D5" s="6" t="s">
        <v>398</v>
      </c>
      <c r="E5" s="6" t="s">
        <v>399</v>
      </c>
      <c r="F5" s="6" t="s">
        <v>400</v>
      </c>
      <c r="G5" s="6" t="s">
        <v>401</v>
      </c>
    </row>
    <row r="6" customFormat="false" ht="24" hidden="false" customHeight="true" outlineLevel="0" collapsed="false">
      <c r="B6" s="12" t="n">
        <v>1</v>
      </c>
      <c r="C6" s="21" t="s">
        <v>427</v>
      </c>
      <c r="D6" s="23" t="s">
        <v>3</v>
      </c>
      <c r="E6" s="24"/>
      <c r="F6" s="24"/>
      <c r="G6" s="25" t="s">
        <v>428</v>
      </c>
    </row>
    <row r="7" customFormat="false" ht="24" hidden="false" customHeight="true" outlineLevel="0" collapsed="false">
      <c r="B7" s="8" t="n">
        <v>2</v>
      </c>
      <c r="C7" s="26" t="s">
        <v>429</v>
      </c>
      <c r="D7" s="29" t="s">
        <v>3</v>
      </c>
      <c r="E7" s="24"/>
      <c r="F7" s="24"/>
      <c r="G7" s="28" t="s">
        <v>430</v>
      </c>
    </row>
    <row r="8" customFormat="false" ht="24" hidden="false" customHeight="true" outlineLevel="0" collapsed="false">
      <c r="B8" s="12" t="n">
        <v>3</v>
      </c>
      <c r="C8" s="21" t="s">
        <v>431</v>
      </c>
      <c r="D8" s="23" t="s">
        <v>3</v>
      </c>
      <c r="E8" s="24"/>
      <c r="F8" s="24"/>
      <c r="G8" s="25" t="s">
        <v>432</v>
      </c>
    </row>
    <row r="9" customFormat="false" ht="24" hidden="false" customHeight="true" outlineLevel="0" collapsed="false">
      <c r="B9" s="8" t="n">
        <v>4</v>
      </c>
      <c r="C9" s="26" t="s">
        <v>433</v>
      </c>
      <c r="D9" s="29" t="s">
        <v>3</v>
      </c>
      <c r="E9" s="24"/>
      <c r="F9" s="24"/>
      <c r="G9" s="28" t="s">
        <v>434</v>
      </c>
    </row>
    <row r="10" customFormat="false" ht="24" hidden="false" customHeight="true" outlineLevel="0" collapsed="false">
      <c r="B10" s="12" t="n">
        <v>5</v>
      </c>
      <c r="C10" s="21" t="s">
        <v>435</v>
      </c>
      <c r="D10" s="23" t="s">
        <v>3</v>
      </c>
      <c r="E10" s="24"/>
      <c r="F10" s="24"/>
      <c r="G10" s="25" t="s">
        <v>436</v>
      </c>
    </row>
    <row r="12" customFormat="false" ht="15" hidden="false" customHeight="true" outlineLevel="0" collapsed="false">
      <c r="B12" s="15" t="s">
        <v>416</v>
      </c>
      <c r="C12" s="15"/>
      <c r="D12" s="15"/>
      <c r="E12" s="30" t="n">
        <f aca="false">COUNTA(E6:E10)</f>
        <v>0</v>
      </c>
      <c r="F12" s="31" t="s">
        <v>437</v>
      </c>
      <c r="G12" s="31"/>
    </row>
    <row r="14" customFormat="false" ht="15" hidden="false" customHeight="false" outlineLevel="0" collapsed="false">
      <c r="B14" s="32" t="s">
        <v>418</v>
      </c>
    </row>
  </sheetData>
  <mergeCells count="3">
    <mergeCell ref="B2:G3"/>
    <mergeCell ref="B12:D12"/>
    <mergeCell ref="F12:G12"/>
  </mergeCells>
  <dataValidations count="5">
    <dataValidation allowBlank="true" error="Valeur non autorisée" errorStyle="stop" errorTitle="Erreur" operator="between" prompt="Sélectionner dans la liste" promptTitle="Réponse client" showDropDown="false" showErrorMessage="false" showInputMessage="false" sqref="E6" type="list">
      <formula1>Listes!$M$4:$M$10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7" type="list">
      <formula1>Listes!$N$4:$N$14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8" type="list">
      <formula1>Listes!$O$4:$O$21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9" type="list">
      <formula1>Listes!$P$4:$P$8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10" type="list">
      <formula1>Listes!$Q$4:$Q$15</formula1>
      <formula2>0</formula2>
    </dataValidation>
  </dataValidations>
  <hyperlinks>
    <hyperlink ref="B14" r:id="rId1" location="Sommaire!A1" display="← Retour au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50"/>
    <col collapsed="false" customWidth="true" hidden="false" outlineLevel="0" max="4" min="4" style="0" width="6"/>
    <col collapsed="false" customWidth="true" hidden="false" outlineLevel="0" max="5" min="5" style="0" width="38"/>
    <col collapsed="false" customWidth="true" hidden="false" outlineLevel="0" max="6" min="6" style="0" width="30"/>
    <col collapsed="false" customWidth="true" hidden="false" outlineLevel="0" max="7" min="7" style="0" width="38"/>
  </cols>
  <sheetData>
    <row r="2" customFormat="false" ht="15" hidden="false" customHeight="true" outlineLevel="0" collapsed="false">
      <c r="B2" s="22" t="s">
        <v>13</v>
      </c>
      <c r="C2" s="22"/>
      <c r="D2" s="22"/>
      <c r="E2" s="22"/>
      <c r="F2" s="22"/>
      <c r="G2" s="22"/>
    </row>
    <row r="3" customFormat="false" ht="15" hidden="false" customHeight="false" outlineLevel="0" collapsed="false">
      <c r="B3" s="22"/>
      <c r="C3" s="22"/>
      <c r="D3" s="22"/>
      <c r="E3" s="22"/>
      <c r="F3" s="22"/>
      <c r="G3" s="22"/>
    </row>
    <row r="5" customFormat="false" ht="25.5" hidden="false" customHeight="true" outlineLevel="0" collapsed="false">
      <c r="B5" s="6" t="s">
        <v>396</v>
      </c>
      <c r="C5" s="6" t="s">
        <v>397</v>
      </c>
      <c r="D5" s="6" t="s">
        <v>398</v>
      </c>
      <c r="E5" s="6" t="s">
        <v>399</v>
      </c>
      <c r="F5" s="6" t="s">
        <v>400</v>
      </c>
      <c r="G5" s="6" t="s">
        <v>401</v>
      </c>
    </row>
    <row r="6" customFormat="false" ht="24" hidden="false" customHeight="true" outlineLevel="0" collapsed="false">
      <c r="B6" s="12" t="n">
        <v>1</v>
      </c>
      <c r="C6" s="21" t="s">
        <v>438</v>
      </c>
      <c r="D6" s="23" t="s">
        <v>3</v>
      </c>
      <c r="E6" s="24"/>
      <c r="F6" s="24"/>
      <c r="G6" s="25" t="s">
        <v>439</v>
      </c>
    </row>
    <row r="7" customFormat="false" ht="24" hidden="false" customHeight="true" outlineLevel="0" collapsed="false">
      <c r="B7" s="8" t="n">
        <v>2</v>
      </c>
      <c r="C7" s="26" t="s">
        <v>440</v>
      </c>
      <c r="D7" s="29" t="s">
        <v>3</v>
      </c>
      <c r="E7" s="24"/>
      <c r="F7" s="24"/>
      <c r="G7" s="28" t="s">
        <v>441</v>
      </c>
    </row>
    <row r="8" customFormat="false" ht="24" hidden="false" customHeight="true" outlineLevel="0" collapsed="false">
      <c r="B8" s="12" t="n">
        <v>3</v>
      </c>
      <c r="C8" s="21" t="s">
        <v>442</v>
      </c>
      <c r="D8" s="33"/>
      <c r="E8" s="24"/>
      <c r="F8" s="24"/>
      <c r="G8" s="25"/>
    </row>
    <row r="9" customFormat="false" ht="24" hidden="false" customHeight="true" outlineLevel="0" collapsed="false">
      <c r="B9" s="8" t="n">
        <v>4</v>
      </c>
      <c r="C9" s="26" t="s">
        <v>443</v>
      </c>
      <c r="D9" s="29" t="s">
        <v>3</v>
      </c>
      <c r="E9" s="24"/>
      <c r="F9" s="24"/>
      <c r="G9" s="28" t="s">
        <v>444</v>
      </c>
    </row>
    <row r="11" customFormat="false" ht="15" hidden="false" customHeight="true" outlineLevel="0" collapsed="false">
      <c r="B11" s="15" t="s">
        <v>416</v>
      </c>
      <c r="C11" s="15"/>
      <c r="D11" s="15"/>
      <c r="E11" s="30" t="n">
        <f aca="false">COUNTA(E6:E9)</f>
        <v>0</v>
      </c>
      <c r="F11" s="31" t="s">
        <v>426</v>
      </c>
      <c r="G11" s="31"/>
    </row>
    <row r="13" customFormat="false" ht="15" hidden="false" customHeight="false" outlineLevel="0" collapsed="false">
      <c r="B13" s="32" t="s">
        <v>418</v>
      </c>
    </row>
  </sheetData>
  <mergeCells count="3">
    <mergeCell ref="B2:G3"/>
    <mergeCell ref="B11:D11"/>
    <mergeCell ref="F11:G11"/>
  </mergeCells>
  <dataValidations count="4">
    <dataValidation allowBlank="true" error="Valeur non autorisée" errorStyle="stop" errorTitle="Erreur" operator="between" prompt="Sélectionner dans la liste" promptTitle="Réponse client" showDropDown="false" showErrorMessage="false" showInputMessage="false" sqref="E6" type="list">
      <formula1>Listes!$R$4:$R$8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7" type="list">
      <formula1>Listes!$S$4:$S$11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8" type="list">
      <formula1>Listes!$T$4:$T$11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9" type="list">
      <formula1>Listes!$U$4:$U$14</formula1>
      <formula2>0</formula2>
    </dataValidation>
  </dataValidations>
  <hyperlinks>
    <hyperlink ref="B13" r:id="rId1" location="Sommaire!A1" display="← Retour au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50"/>
    <col collapsed="false" customWidth="true" hidden="false" outlineLevel="0" max="4" min="4" style="0" width="6"/>
    <col collapsed="false" customWidth="true" hidden="false" outlineLevel="0" max="5" min="5" style="0" width="38"/>
    <col collapsed="false" customWidth="true" hidden="false" outlineLevel="0" max="6" min="6" style="0" width="30"/>
    <col collapsed="false" customWidth="true" hidden="false" outlineLevel="0" max="7" min="7" style="0" width="38"/>
  </cols>
  <sheetData>
    <row r="2" customFormat="false" ht="15" hidden="false" customHeight="true" outlineLevel="0" collapsed="false">
      <c r="B2" s="22" t="s">
        <v>14</v>
      </c>
      <c r="C2" s="22"/>
      <c r="D2" s="22"/>
      <c r="E2" s="22"/>
      <c r="F2" s="22"/>
      <c r="G2" s="22"/>
    </row>
    <row r="3" customFormat="false" ht="15" hidden="false" customHeight="false" outlineLevel="0" collapsed="false">
      <c r="B3" s="22"/>
      <c r="C3" s="22"/>
      <c r="D3" s="22"/>
      <c r="E3" s="22"/>
      <c r="F3" s="22"/>
      <c r="G3" s="22"/>
    </row>
    <row r="5" customFormat="false" ht="25.5" hidden="false" customHeight="true" outlineLevel="0" collapsed="false">
      <c r="B5" s="6" t="s">
        <v>396</v>
      </c>
      <c r="C5" s="6" t="s">
        <v>397</v>
      </c>
      <c r="D5" s="6" t="s">
        <v>398</v>
      </c>
      <c r="E5" s="6" t="s">
        <v>399</v>
      </c>
      <c r="F5" s="6" t="s">
        <v>400</v>
      </c>
      <c r="G5" s="6" t="s">
        <v>401</v>
      </c>
    </row>
    <row r="6" customFormat="false" ht="24" hidden="false" customHeight="true" outlineLevel="0" collapsed="false">
      <c r="B6" s="12" t="n">
        <v>1</v>
      </c>
      <c r="C6" s="21" t="s">
        <v>445</v>
      </c>
      <c r="D6" s="23" t="s">
        <v>3</v>
      </c>
      <c r="E6" s="24"/>
      <c r="F6" s="24"/>
      <c r="G6" s="25" t="s">
        <v>446</v>
      </c>
    </row>
    <row r="7" customFormat="false" ht="24" hidden="false" customHeight="true" outlineLevel="0" collapsed="false">
      <c r="B7" s="8" t="n">
        <v>2</v>
      </c>
      <c r="C7" s="26" t="s">
        <v>447</v>
      </c>
      <c r="D7" s="29" t="s">
        <v>3</v>
      </c>
      <c r="E7" s="24"/>
      <c r="F7" s="24"/>
      <c r="G7" s="28" t="s">
        <v>448</v>
      </c>
    </row>
    <row r="8" customFormat="false" ht="24" hidden="false" customHeight="true" outlineLevel="0" collapsed="false">
      <c r="B8" s="12" t="n">
        <v>3</v>
      </c>
      <c r="C8" s="21" t="s">
        <v>449</v>
      </c>
      <c r="D8" s="23" t="s">
        <v>3</v>
      </c>
      <c r="E8" s="24"/>
      <c r="F8" s="24"/>
      <c r="G8" s="25" t="s">
        <v>450</v>
      </c>
    </row>
    <row r="9" customFormat="false" ht="24" hidden="false" customHeight="true" outlineLevel="0" collapsed="false">
      <c r="B9" s="8" t="n">
        <v>4</v>
      </c>
      <c r="C9" s="26" t="s">
        <v>451</v>
      </c>
      <c r="D9" s="29" t="s">
        <v>3</v>
      </c>
      <c r="E9" s="24"/>
      <c r="F9" s="24"/>
      <c r="G9" s="28" t="s">
        <v>452</v>
      </c>
    </row>
    <row r="10" customFormat="false" ht="24" hidden="false" customHeight="true" outlineLevel="0" collapsed="false">
      <c r="B10" s="12" t="n">
        <v>5</v>
      </c>
      <c r="C10" s="21" t="s">
        <v>453</v>
      </c>
      <c r="D10" s="33"/>
      <c r="E10" s="24"/>
      <c r="F10" s="24"/>
      <c r="G10" s="25"/>
    </row>
    <row r="11" customFormat="false" ht="24" hidden="false" customHeight="true" outlineLevel="0" collapsed="false">
      <c r="B11" s="8" t="n">
        <v>6</v>
      </c>
      <c r="C11" s="26" t="s">
        <v>454</v>
      </c>
      <c r="D11" s="29" t="s">
        <v>3</v>
      </c>
      <c r="E11" s="24"/>
      <c r="F11" s="24"/>
      <c r="G11" s="28" t="s">
        <v>455</v>
      </c>
    </row>
    <row r="12" customFormat="false" ht="24" hidden="false" customHeight="true" outlineLevel="0" collapsed="false">
      <c r="B12" s="12" t="n">
        <v>7</v>
      </c>
      <c r="C12" s="21" t="s">
        <v>456</v>
      </c>
      <c r="D12" s="23" t="s">
        <v>3</v>
      </c>
      <c r="E12" s="24"/>
      <c r="F12" s="24"/>
      <c r="G12" s="25" t="s">
        <v>457</v>
      </c>
    </row>
    <row r="13" customFormat="false" ht="24" hidden="false" customHeight="true" outlineLevel="0" collapsed="false">
      <c r="B13" s="8" t="n">
        <v>8</v>
      </c>
      <c r="C13" s="26" t="s">
        <v>458</v>
      </c>
      <c r="D13" s="29" t="s">
        <v>3</v>
      </c>
      <c r="E13" s="24"/>
      <c r="F13" s="24"/>
      <c r="G13" s="28" t="s">
        <v>459</v>
      </c>
    </row>
    <row r="15" customFormat="false" ht="15" hidden="false" customHeight="true" outlineLevel="0" collapsed="false">
      <c r="B15" s="15" t="s">
        <v>416</v>
      </c>
      <c r="C15" s="15"/>
      <c r="D15" s="15"/>
      <c r="E15" s="30" t="n">
        <f aca="false">COUNTA(E6:E13)</f>
        <v>0</v>
      </c>
      <c r="F15" s="31" t="s">
        <v>460</v>
      </c>
      <c r="G15" s="31"/>
    </row>
    <row r="17" customFormat="false" ht="15" hidden="false" customHeight="false" outlineLevel="0" collapsed="false">
      <c r="B17" s="32" t="s">
        <v>418</v>
      </c>
    </row>
  </sheetData>
  <mergeCells count="3">
    <mergeCell ref="B2:G3"/>
    <mergeCell ref="B15:D15"/>
    <mergeCell ref="F15:G15"/>
  </mergeCells>
  <dataValidations count="8">
    <dataValidation allowBlank="true" error="Valeur non autorisée" errorStyle="stop" errorTitle="Erreur" operator="between" prompt="Sélectionner dans la liste" promptTitle="Réponse client" showDropDown="false" showErrorMessage="false" showInputMessage="false" sqref="E6" type="list">
      <formula1>Listes!$V$4:$V$14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7" type="list">
      <formula1>Listes!$W$4:$W$14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8" type="list">
      <formula1>Listes!$X$4:$X$12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9" type="list">
      <formula1>Listes!$Y$4:$Y$10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10" type="list">
      <formula1>Listes!$Z$4:$Z$11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11" type="list">
      <formula1>Listes!$AA$4:$AA$9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12" type="list">
      <formula1>Listes!$AB$4:$AB$8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13" type="list">
      <formula1>Listes!$AC$4:$AC$10</formula1>
      <formula2>0</formula2>
    </dataValidation>
  </dataValidations>
  <hyperlinks>
    <hyperlink ref="B17" r:id="rId1" location="Sommaire!A1" display="← Retour au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50"/>
    <col collapsed="false" customWidth="true" hidden="false" outlineLevel="0" max="4" min="4" style="0" width="6"/>
    <col collapsed="false" customWidth="true" hidden="false" outlineLevel="0" max="5" min="5" style="0" width="38"/>
    <col collapsed="false" customWidth="true" hidden="false" outlineLevel="0" max="6" min="6" style="0" width="30"/>
    <col collapsed="false" customWidth="true" hidden="false" outlineLevel="0" max="7" min="7" style="0" width="38"/>
  </cols>
  <sheetData>
    <row r="2" customFormat="false" ht="15" hidden="false" customHeight="true" outlineLevel="0" collapsed="false">
      <c r="B2" s="22" t="s">
        <v>15</v>
      </c>
      <c r="C2" s="22"/>
      <c r="D2" s="22"/>
      <c r="E2" s="22"/>
      <c r="F2" s="22"/>
      <c r="G2" s="22"/>
    </row>
    <row r="3" customFormat="false" ht="15" hidden="false" customHeight="false" outlineLevel="0" collapsed="false">
      <c r="B3" s="22"/>
      <c r="C3" s="22"/>
      <c r="D3" s="22"/>
      <c r="E3" s="22"/>
      <c r="F3" s="22"/>
      <c r="G3" s="22"/>
    </row>
    <row r="5" customFormat="false" ht="25.5" hidden="false" customHeight="true" outlineLevel="0" collapsed="false">
      <c r="B5" s="6" t="s">
        <v>396</v>
      </c>
      <c r="C5" s="6" t="s">
        <v>397</v>
      </c>
      <c r="D5" s="6" t="s">
        <v>398</v>
      </c>
      <c r="E5" s="6" t="s">
        <v>399</v>
      </c>
      <c r="F5" s="6" t="s">
        <v>400</v>
      </c>
      <c r="G5" s="6" t="s">
        <v>401</v>
      </c>
    </row>
    <row r="6" customFormat="false" ht="24" hidden="false" customHeight="true" outlineLevel="0" collapsed="false">
      <c r="B6" s="12" t="n">
        <v>1</v>
      </c>
      <c r="C6" s="21" t="s">
        <v>461</v>
      </c>
      <c r="D6" s="23" t="s">
        <v>3</v>
      </c>
      <c r="E6" s="24"/>
      <c r="F6" s="24"/>
      <c r="G6" s="25" t="s">
        <v>462</v>
      </c>
    </row>
    <row r="7" customFormat="false" ht="24" hidden="false" customHeight="true" outlineLevel="0" collapsed="false">
      <c r="B7" s="8" t="n">
        <v>2</v>
      </c>
      <c r="C7" s="26" t="s">
        <v>463</v>
      </c>
      <c r="D7" s="29" t="s">
        <v>3</v>
      </c>
      <c r="E7" s="24"/>
      <c r="F7" s="24"/>
      <c r="G7" s="28" t="s">
        <v>464</v>
      </c>
    </row>
    <row r="8" customFormat="false" ht="24" hidden="false" customHeight="true" outlineLevel="0" collapsed="false">
      <c r="B8" s="12" t="n">
        <v>3</v>
      </c>
      <c r="C8" s="21" t="s">
        <v>465</v>
      </c>
      <c r="D8" s="23" t="s">
        <v>3</v>
      </c>
      <c r="E8" s="24"/>
      <c r="F8" s="24"/>
      <c r="G8" s="25" t="s">
        <v>466</v>
      </c>
    </row>
    <row r="9" customFormat="false" ht="24" hidden="false" customHeight="true" outlineLevel="0" collapsed="false">
      <c r="B9" s="8" t="n">
        <v>4</v>
      </c>
      <c r="C9" s="26" t="s">
        <v>467</v>
      </c>
      <c r="D9" s="29" t="s">
        <v>3</v>
      </c>
      <c r="E9" s="24"/>
      <c r="F9" s="24"/>
      <c r="G9" s="28" t="s">
        <v>468</v>
      </c>
    </row>
    <row r="10" customFormat="false" ht="24" hidden="false" customHeight="true" outlineLevel="0" collapsed="false">
      <c r="B10" s="12" t="n">
        <v>5</v>
      </c>
      <c r="C10" s="21" t="s">
        <v>469</v>
      </c>
      <c r="D10" s="23" t="s">
        <v>3</v>
      </c>
      <c r="E10" s="24"/>
      <c r="F10" s="24"/>
      <c r="G10" s="25" t="s">
        <v>470</v>
      </c>
    </row>
    <row r="12" customFormat="false" ht="15" hidden="false" customHeight="true" outlineLevel="0" collapsed="false">
      <c r="B12" s="15" t="s">
        <v>416</v>
      </c>
      <c r="C12" s="15"/>
      <c r="D12" s="15"/>
      <c r="E12" s="30" t="n">
        <f aca="false">COUNTA(E6:E10)</f>
        <v>0</v>
      </c>
      <c r="F12" s="31" t="s">
        <v>437</v>
      </c>
      <c r="G12" s="31"/>
    </row>
    <row r="14" customFormat="false" ht="15" hidden="false" customHeight="false" outlineLevel="0" collapsed="false">
      <c r="B14" s="32" t="s">
        <v>418</v>
      </c>
    </row>
  </sheetData>
  <mergeCells count="3">
    <mergeCell ref="B2:G3"/>
    <mergeCell ref="B12:D12"/>
    <mergeCell ref="F12:G12"/>
  </mergeCells>
  <dataValidations count="5">
    <dataValidation allowBlank="true" error="Valeur non autorisée" errorStyle="stop" errorTitle="Erreur" operator="between" prompt="Sélectionner dans la liste" promptTitle="Réponse client" showDropDown="false" showErrorMessage="false" showInputMessage="false" sqref="E6" type="list">
      <formula1>Listes!$AD$4:$AD$12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7" type="list">
      <formula1>Listes!$AE$4:$AE$8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8" type="list">
      <formula1>Listes!$AF$4:$AF$8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9" type="list">
      <formula1>Listes!$AG$4:$AG$10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10" type="list">
      <formula1>Listes!$AH$4:$AH$8</formula1>
      <formula2>0</formula2>
    </dataValidation>
  </dataValidations>
  <hyperlinks>
    <hyperlink ref="B14" r:id="rId1" location="Sommaire!A1" display="← Retour au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50"/>
    <col collapsed="false" customWidth="true" hidden="false" outlineLevel="0" max="4" min="4" style="0" width="6"/>
    <col collapsed="false" customWidth="true" hidden="false" outlineLevel="0" max="5" min="5" style="0" width="38"/>
    <col collapsed="false" customWidth="true" hidden="false" outlineLevel="0" max="6" min="6" style="0" width="30"/>
    <col collapsed="false" customWidth="true" hidden="false" outlineLevel="0" max="7" min="7" style="0" width="38"/>
  </cols>
  <sheetData>
    <row r="2" customFormat="false" ht="15" hidden="false" customHeight="true" outlineLevel="0" collapsed="false">
      <c r="B2" s="22" t="s">
        <v>16</v>
      </c>
      <c r="C2" s="22"/>
      <c r="D2" s="22"/>
      <c r="E2" s="22"/>
      <c r="F2" s="22"/>
      <c r="G2" s="22"/>
    </row>
    <row r="3" customFormat="false" ht="15" hidden="false" customHeight="false" outlineLevel="0" collapsed="false">
      <c r="B3" s="22"/>
      <c r="C3" s="22"/>
      <c r="D3" s="22"/>
      <c r="E3" s="22"/>
      <c r="F3" s="22"/>
      <c r="G3" s="22"/>
    </row>
    <row r="5" customFormat="false" ht="25.5" hidden="false" customHeight="true" outlineLevel="0" collapsed="false">
      <c r="B5" s="6" t="s">
        <v>396</v>
      </c>
      <c r="C5" s="6" t="s">
        <v>397</v>
      </c>
      <c r="D5" s="6" t="s">
        <v>398</v>
      </c>
      <c r="E5" s="6" t="s">
        <v>399</v>
      </c>
      <c r="F5" s="6" t="s">
        <v>400</v>
      </c>
      <c r="G5" s="6" t="s">
        <v>401</v>
      </c>
    </row>
    <row r="6" customFormat="false" ht="24" hidden="false" customHeight="true" outlineLevel="0" collapsed="false">
      <c r="B6" s="12" t="n">
        <v>1</v>
      </c>
      <c r="C6" s="21" t="s">
        <v>471</v>
      </c>
      <c r="D6" s="33"/>
      <c r="E6" s="24"/>
      <c r="F6" s="24"/>
      <c r="G6" s="25"/>
    </row>
    <row r="7" customFormat="false" ht="24" hidden="false" customHeight="true" outlineLevel="0" collapsed="false">
      <c r="B7" s="8" t="n">
        <v>2</v>
      </c>
      <c r="C7" s="26" t="s">
        <v>472</v>
      </c>
      <c r="D7" s="29" t="s">
        <v>3</v>
      </c>
      <c r="E7" s="24"/>
      <c r="F7" s="24"/>
      <c r="G7" s="28" t="s">
        <v>473</v>
      </c>
    </row>
    <row r="8" customFormat="false" ht="24" hidden="false" customHeight="true" outlineLevel="0" collapsed="false">
      <c r="B8" s="12" t="n">
        <v>3</v>
      </c>
      <c r="C8" s="21" t="s">
        <v>474</v>
      </c>
      <c r="D8" s="23" t="s">
        <v>3</v>
      </c>
      <c r="E8" s="24"/>
      <c r="F8" s="24"/>
      <c r="G8" s="25" t="s">
        <v>475</v>
      </c>
    </row>
    <row r="9" customFormat="false" ht="24" hidden="false" customHeight="true" outlineLevel="0" collapsed="false">
      <c r="B9" s="8" t="n">
        <v>4</v>
      </c>
      <c r="C9" s="26" t="s">
        <v>476</v>
      </c>
      <c r="D9" s="29" t="s">
        <v>3</v>
      </c>
      <c r="E9" s="24"/>
      <c r="F9" s="24"/>
      <c r="G9" s="28" t="s">
        <v>477</v>
      </c>
    </row>
    <row r="10" customFormat="false" ht="24" hidden="false" customHeight="true" outlineLevel="0" collapsed="false">
      <c r="B10" s="12" t="n">
        <v>5</v>
      </c>
      <c r="C10" s="21" t="s">
        <v>478</v>
      </c>
      <c r="D10" s="23" t="s">
        <v>3</v>
      </c>
      <c r="E10" s="24"/>
      <c r="F10" s="24"/>
      <c r="G10" s="25" t="s">
        <v>479</v>
      </c>
    </row>
    <row r="12" customFormat="false" ht="15" hidden="false" customHeight="true" outlineLevel="0" collapsed="false">
      <c r="B12" s="15" t="s">
        <v>416</v>
      </c>
      <c r="C12" s="15"/>
      <c r="D12" s="15"/>
      <c r="E12" s="30" t="n">
        <f aca="false">COUNTA(E6:E10)</f>
        <v>0</v>
      </c>
      <c r="F12" s="31" t="s">
        <v>480</v>
      </c>
      <c r="G12" s="31"/>
    </row>
    <row r="14" customFormat="false" ht="15" hidden="false" customHeight="false" outlineLevel="0" collapsed="false">
      <c r="B14" s="32" t="s">
        <v>418</v>
      </c>
    </row>
  </sheetData>
  <mergeCells count="3">
    <mergeCell ref="B2:G3"/>
    <mergeCell ref="B12:D12"/>
    <mergeCell ref="F12:G12"/>
  </mergeCells>
  <dataValidations count="5">
    <dataValidation allowBlank="true" error="Valeur non autorisée" errorStyle="stop" errorTitle="Erreur" operator="between" prompt="Sélectionner dans la liste" promptTitle="Réponse client" showDropDown="false" showErrorMessage="false" showInputMessage="false" sqref="E6" type="list">
      <formula1>Listes!$AI$4:$AI$7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7" type="list">
      <formula1>Listes!$AJ$4:$AJ$13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8" type="list">
      <formula1>Listes!$AK$4:$AK$9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9" type="list">
      <formula1>Listes!$AL$4:$AL$11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10" type="list">
      <formula1>Listes!$AM$4:$AM$12</formula1>
      <formula2>0</formula2>
    </dataValidation>
  </dataValidations>
  <hyperlinks>
    <hyperlink ref="B14" r:id="rId1" location="Sommaire!A1" display="← Retour au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50"/>
    <col collapsed="false" customWidth="true" hidden="false" outlineLevel="0" max="4" min="4" style="0" width="6"/>
    <col collapsed="false" customWidth="true" hidden="false" outlineLevel="0" max="5" min="5" style="0" width="38"/>
    <col collapsed="false" customWidth="true" hidden="false" outlineLevel="0" max="6" min="6" style="0" width="30"/>
    <col collapsed="false" customWidth="true" hidden="false" outlineLevel="0" max="7" min="7" style="0" width="38"/>
  </cols>
  <sheetData>
    <row r="2" customFormat="false" ht="15" hidden="false" customHeight="true" outlineLevel="0" collapsed="false">
      <c r="B2" s="22" t="s">
        <v>17</v>
      </c>
      <c r="C2" s="22"/>
      <c r="D2" s="22"/>
      <c r="E2" s="22"/>
      <c r="F2" s="22"/>
      <c r="G2" s="22"/>
    </row>
    <row r="3" customFormat="false" ht="15" hidden="false" customHeight="false" outlineLevel="0" collapsed="false">
      <c r="B3" s="22"/>
      <c r="C3" s="22"/>
      <c r="D3" s="22"/>
      <c r="E3" s="22"/>
      <c r="F3" s="22"/>
      <c r="G3" s="22"/>
    </row>
    <row r="5" customFormat="false" ht="25.5" hidden="false" customHeight="true" outlineLevel="0" collapsed="false">
      <c r="B5" s="6" t="s">
        <v>396</v>
      </c>
      <c r="C5" s="6" t="s">
        <v>397</v>
      </c>
      <c r="D5" s="6" t="s">
        <v>398</v>
      </c>
      <c r="E5" s="6" t="s">
        <v>399</v>
      </c>
      <c r="F5" s="6" t="s">
        <v>400</v>
      </c>
      <c r="G5" s="6" t="s">
        <v>401</v>
      </c>
    </row>
    <row r="6" customFormat="false" ht="24" hidden="false" customHeight="true" outlineLevel="0" collapsed="false">
      <c r="B6" s="12" t="n">
        <v>1</v>
      </c>
      <c r="C6" s="21" t="s">
        <v>481</v>
      </c>
      <c r="D6" s="23" t="s">
        <v>3</v>
      </c>
      <c r="E6" s="24"/>
      <c r="F6" s="24"/>
      <c r="G6" s="25" t="s">
        <v>482</v>
      </c>
    </row>
    <row r="7" customFormat="false" ht="24" hidden="false" customHeight="true" outlineLevel="0" collapsed="false">
      <c r="B7" s="8" t="n">
        <v>2</v>
      </c>
      <c r="C7" s="26" t="s">
        <v>483</v>
      </c>
      <c r="D7" s="29" t="s">
        <v>3</v>
      </c>
      <c r="E7" s="24"/>
      <c r="F7" s="24"/>
      <c r="G7" s="28" t="s">
        <v>484</v>
      </c>
    </row>
    <row r="8" customFormat="false" ht="24" hidden="false" customHeight="true" outlineLevel="0" collapsed="false">
      <c r="B8" s="12" t="n">
        <v>3</v>
      </c>
      <c r="C8" s="21" t="s">
        <v>485</v>
      </c>
      <c r="D8" s="23" t="s">
        <v>3</v>
      </c>
      <c r="E8" s="24"/>
      <c r="F8" s="24"/>
      <c r="G8" s="25" t="s">
        <v>486</v>
      </c>
    </row>
    <row r="9" customFormat="false" ht="24" hidden="false" customHeight="true" outlineLevel="0" collapsed="false">
      <c r="B9" s="8" t="n">
        <v>4</v>
      </c>
      <c r="C9" s="26" t="s">
        <v>487</v>
      </c>
      <c r="D9" s="27"/>
      <c r="E9" s="24"/>
      <c r="F9" s="24"/>
      <c r="G9" s="28"/>
    </row>
    <row r="11" customFormat="false" ht="15" hidden="false" customHeight="true" outlineLevel="0" collapsed="false">
      <c r="B11" s="15" t="s">
        <v>416</v>
      </c>
      <c r="C11" s="15"/>
      <c r="D11" s="15"/>
      <c r="E11" s="30" t="n">
        <f aca="false">COUNTA(E6:E9)</f>
        <v>0</v>
      </c>
      <c r="F11" s="31" t="s">
        <v>426</v>
      </c>
      <c r="G11" s="31"/>
    </row>
    <row r="13" customFormat="false" ht="15" hidden="false" customHeight="false" outlineLevel="0" collapsed="false">
      <c r="B13" s="32" t="s">
        <v>418</v>
      </c>
    </row>
  </sheetData>
  <mergeCells count="3">
    <mergeCell ref="B2:G3"/>
    <mergeCell ref="B11:D11"/>
    <mergeCell ref="F11:G11"/>
  </mergeCells>
  <dataValidations count="4">
    <dataValidation allowBlank="true" error="Valeur non autorisée" errorStyle="stop" errorTitle="Erreur" operator="between" prompt="Sélectionner dans la liste" promptTitle="Réponse client" showDropDown="false" showErrorMessage="false" showInputMessage="false" sqref="E6" type="list">
      <formula1>Listes!$AN$4:$AN$9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7" type="list">
      <formula1>Listes!$AO$4:$AO$10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8" type="list">
      <formula1>Listes!$AP$4:$AP$10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9" type="list">
      <formula1>Listes!$AQ$4:$AQ$10</formula1>
      <formula2>0</formula2>
    </dataValidation>
  </dataValidations>
  <hyperlinks>
    <hyperlink ref="B13" r:id="rId1" location="Sommaire!A1" display="← Retour au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50"/>
    <col collapsed="false" customWidth="true" hidden="false" outlineLevel="0" max="4" min="4" style="0" width="6"/>
    <col collapsed="false" customWidth="true" hidden="false" outlineLevel="0" max="5" min="5" style="0" width="38"/>
    <col collapsed="false" customWidth="true" hidden="false" outlineLevel="0" max="6" min="6" style="0" width="30"/>
    <col collapsed="false" customWidth="true" hidden="false" outlineLevel="0" max="7" min="7" style="0" width="38"/>
  </cols>
  <sheetData>
    <row r="2" customFormat="false" ht="15" hidden="false" customHeight="true" outlineLevel="0" collapsed="false">
      <c r="B2" s="22" t="s">
        <v>18</v>
      </c>
      <c r="C2" s="22"/>
      <c r="D2" s="22"/>
      <c r="E2" s="22"/>
      <c r="F2" s="22"/>
      <c r="G2" s="22"/>
    </row>
    <row r="3" customFormat="false" ht="15" hidden="false" customHeight="false" outlineLevel="0" collapsed="false">
      <c r="B3" s="22"/>
      <c r="C3" s="22"/>
      <c r="D3" s="22"/>
      <c r="E3" s="22"/>
      <c r="F3" s="22"/>
      <c r="G3" s="22"/>
    </row>
    <row r="5" customFormat="false" ht="25.5" hidden="false" customHeight="true" outlineLevel="0" collapsed="false">
      <c r="B5" s="6" t="s">
        <v>396</v>
      </c>
      <c r="C5" s="6" t="s">
        <v>397</v>
      </c>
      <c r="D5" s="6" t="s">
        <v>398</v>
      </c>
      <c r="E5" s="6" t="s">
        <v>399</v>
      </c>
      <c r="F5" s="6" t="s">
        <v>400</v>
      </c>
      <c r="G5" s="6" t="s">
        <v>401</v>
      </c>
    </row>
    <row r="6" customFormat="false" ht="24" hidden="false" customHeight="true" outlineLevel="0" collapsed="false">
      <c r="B6" s="12" t="n">
        <v>1</v>
      </c>
      <c r="C6" s="21" t="s">
        <v>488</v>
      </c>
      <c r="D6" s="23" t="s">
        <v>3</v>
      </c>
      <c r="E6" s="24"/>
      <c r="F6" s="24"/>
      <c r="G6" s="25" t="s">
        <v>489</v>
      </c>
    </row>
    <row r="7" customFormat="false" ht="24" hidden="false" customHeight="true" outlineLevel="0" collapsed="false">
      <c r="B7" s="8" t="n">
        <v>2</v>
      </c>
      <c r="C7" s="26" t="s">
        <v>490</v>
      </c>
      <c r="D7" s="29" t="s">
        <v>3</v>
      </c>
      <c r="E7" s="24"/>
      <c r="F7" s="24"/>
      <c r="G7" s="28" t="s">
        <v>491</v>
      </c>
    </row>
    <row r="8" customFormat="false" ht="24" hidden="false" customHeight="true" outlineLevel="0" collapsed="false">
      <c r="B8" s="12" t="n">
        <v>3</v>
      </c>
      <c r="C8" s="21" t="s">
        <v>492</v>
      </c>
      <c r="D8" s="23" t="s">
        <v>3</v>
      </c>
      <c r="E8" s="24"/>
      <c r="F8" s="24"/>
      <c r="G8" s="25" t="s">
        <v>493</v>
      </c>
    </row>
    <row r="9" customFormat="false" ht="24" hidden="false" customHeight="true" outlineLevel="0" collapsed="false">
      <c r="B9" s="8" t="n">
        <v>4</v>
      </c>
      <c r="C9" s="26" t="s">
        <v>494</v>
      </c>
      <c r="D9" s="29" t="s">
        <v>3</v>
      </c>
      <c r="E9" s="24"/>
      <c r="F9" s="24"/>
      <c r="G9" s="28" t="s">
        <v>495</v>
      </c>
    </row>
    <row r="10" customFormat="false" ht="24" hidden="false" customHeight="true" outlineLevel="0" collapsed="false">
      <c r="B10" s="12" t="n">
        <v>5</v>
      </c>
      <c r="C10" s="21" t="s">
        <v>496</v>
      </c>
      <c r="D10" s="23" t="s">
        <v>3</v>
      </c>
      <c r="E10" s="24"/>
      <c r="F10" s="24"/>
      <c r="G10" s="25" t="s">
        <v>497</v>
      </c>
    </row>
    <row r="12" customFormat="false" ht="15" hidden="false" customHeight="true" outlineLevel="0" collapsed="false">
      <c r="B12" s="15" t="s">
        <v>416</v>
      </c>
      <c r="C12" s="15"/>
      <c r="D12" s="15"/>
      <c r="E12" s="30" t="n">
        <f aca="false">COUNTA(E6:E10)</f>
        <v>0</v>
      </c>
      <c r="F12" s="31" t="s">
        <v>437</v>
      </c>
      <c r="G12" s="31"/>
    </row>
    <row r="14" customFormat="false" ht="15" hidden="false" customHeight="false" outlineLevel="0" collapsed="false">
      <c r="B14" s="32" t="s">
        <v>418</v>
      </c>
    </row>
  </sheetData>
  <mergeCells count="3">
    <mergeCell ref="B2:G3"/>
    <mergeCell ref="B12:D12"/>
    <mergeCell ref="F12:G12"/>
  </mergeCells>
  <dataValidations count="5">
    <dataValidation allowBlank="true" error="Valeur non autorisée" errorStyle="stop" errorTitle="Erreur" operator="between" prompt="Sélectionner dans la liste" promptTitle="Réponse client" showDropDown="false" showErrorMessage="false" showInputMessage="false" sqref="E6" type="list">
      <formula1>Listes!$AR$4:$AR$11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7" type="list">
      <formula1>Listes!$AS$4:$AS$8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8" type="list">
      <formula1>Listes!$AT$4:$AT$8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9" type="list">
      <formula1>Listes!$AU$4:$AU$8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10" type="list">
      <formula1>Listes!$AV$4:$AV$8</formula1>
      <formula2>0</formula2>
    </dataValidation>
  </dataValidations>
  <hyperlinks>
    <hyperlink ref="B14" r:id="rId1" location="Sommaire!A1" display="← Retour au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50"/>
    <col collapsed="false" customWidth="true" hidden="false" outlineLevel="0" max="4" min="4" style="0" width="6"/>
    <col collapsed="false" customWidth="true" hidden="false" outlineLevel="0" max="5" min="5" style="0" width="38"/>
    <col collapsed="false" customWidth="true" hidden="false" outlineLevel="0" max="6" min="6" style="0" width="30"/>
    <col collapsed="false" customWidth="true" hidden="false" outlineLevel="0" max="7" min="7" style="0" width="38"/>
  </cols>
  <sheetData>
    <row r="2" customFormat="false" ht="15" hidden="false" customHeight="true" outlineLevel="0" collapsed="false">
      <c r="B2" s="22" t="s">
        <v>19</v>
      </c>
      <c r="C2" s="22"/>
      <c r="D2" s="22"/>
      <c r="E2" s="22"/>
      <c r="F2" s="22"/>
      <c r="G2" s="22"/>
    </row>
    <row r="3" customFormat="false" ht="15" hidden="false" customHeight="false" outlineLevel="0" collapsed="false">
      <c r="B3" s="22"/>
      <c r="C3" s="22"/>
      <c r="D3" s="22"/>
      <c r="E3" s="22"/>
      <c r="F3" s="22"/>
      <c r="G3" s="22"/>
    </row>
    <row r="5" customFormat="false" ht="25.5" hidden="false" customHeight="true" outlineLevel="0" collapsed="false">
      <c r="B5" s="6" t="s">
        <v>396</v>
      </c>
      <c r="C5" s="6" t="s">
        <v>397</v>
      </c>
      <c r="D5" s="6" t="s">
        <v>398</v>
      </c>
      <c r="E5" s="6" t="s">
        <v>399</v>
      </c>
      <c r="F5" s="6" t="s">
        <v>400</v>
      </c>
      <c r="G5" s="6" t="s">
        <v>401</v>
      </c>
    </row>
    <row r="6" customFormat="false" ht="24" hidden="false" customHeight="true" outlineLevel="0" collapsed="false">
      <c r="B6" s="12" t="n">
        <v>1</v>
      </c>
      <c r="C6" s="21" t="s">
        <v>498</v>
      </c>
      <c r="D6" s="23" t="s">
        <v>3</v>
      </c>
      <c r="E6" s="24"/>
      <c r="F6" s="24"/>
      <c r="G6" s="25" t="s">
        <v>499</v>
      </c>
    </row>
    <row r="7" customFormat="false" ht="24" hidden="false" customHeight="true" outlineLevel="0" collapsed="false">
      <c r="B7" s="8" t="n">
        <v>2</v>
      </c>
      <c r="C7" s="26" t="s">
        <v>500</v>
      </c>
      <c r="D7" s="29" t="s">
        <v>3</v>
      </c>
      <c r="E7" s="24"/>
      <c r="F7" s="24"/>
      <c r="G7" s="28" t="s">
        <v>501</v>
      </c>
    </row>
    <row r="8" customFormat="false" ht="24" hidden="false" customHeight="true" outlineLevel="0" collapsed="false">
      <c r="B8" s="12" t="n">
        <v>3</v>
      </c>
      <c r="C8" s="21" t="s">
        <v>502</v>
      </c>
      <c r="D8" s="23" t="s">
        <v>3</v>
      </c>
      <c r="E8" s="24"/>
      <c r="F8" s="24"/>
      <c r="G8" s="25" t="s">
        <v>213</v>
      </c>
    </row>
    <row r="9" customFormat="false" ht="24" hidden="false" customHeight="true" outlineLevel="0" collapsed="false">
      <c r="B9" s="8" t="n">
        <v>4</v>
      </c>
      <c r="C9" s="26" t="s">
        <v>503</v>
      </c>
      <c r="D9" s="29" t="s">
        <v>3</v>
      </c>
      <c r="E9" s="24"/>
      <c r="F9" s="24"/>
      <c r="G9" s="28" t="s">
        <v>504</v>
      </c>
    </row>
    <row r="11" customFormat="false" ht="15" hidden="false" customHeight="true" outlineLevel="0" collapsed="false">
      <c r="B11" s="15" t="s">
        <v>416</v>
      </c>
      <c r="C11" s="15"/>
      <c r="D11" s="15"/>
      <c r="E11" s="30" t="n">
        <f aca="false">COUNTA(E6:E9)</f>
        <v>0</v>
      </c>
      <c r="F11" s="31" t="s">
        <v>505</v>
      </c>
      <c r="G11" s="31"/>
    </row>
    <row r="13" customFormat="false" ht="15" hidden="false" customHeight="false" outlineLevel="0" collapsed="false">
      <c r="B13" s="32" t="s">
        <v>418</v>
      </c>
    </row>
  </sheetData>
  <mergeCells count="3">
    <mergeCell ref="B2:G3"/>
    <mergeCell ref="B11:D11"/>
    <mergeCell ref="F11:G11"/>
  </mergeCells>
  <dataValidations count="4">
    <dataValidation allowBlank="true" error="Valeur non autorisée" errorStyle="stop" errorTitle="Erreur" operator="between" prompt="Sélectionner dans la liste" promptTitle="Réponse client" showDropDown="false" showErrorMessage="false" showInputMessage="false" sqref="E6" type="list">
      <formula1>Listes!$AW$4:$AW$14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7" type="list">
      <formula1>Listes!$AX$4:$AX$11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8" type="list">
      <formula1>Listes!$AY$4:$AY$8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9" type="list">
      <formula1>Listes!$AZ$4:$AZ$7</formula1>
      <formula2>0</formula2>
    </dataValidation>
  </dataValidations>
  <hyperlinks>
    <hyperlink ref="B13" r:id="rId1" location="Sommaire!A1" display="← Retour au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50"/>
    <col collapsed="false" customWidth="true" hidden="false" outlineLevel="0" max="4" min="4" style="0" width="6"/>
    <col collapsed="false" customWidth="true" hidden="false" outlineLevel="0" max="5" min="5" style="0" width="38"/>
    <col collapsed="false" customWidth="true" hidden="false" outlineLevel="0" max="6" min="6" style="0" width="30"/>
    <col collapsed="false" customWidth="true" hidden="false" outlineLevel="0" max="7" min="7" style="0" width="38"/>
  </cols>
  <sheetData>
    <row r="2" customFormat="false" ht="15" hidden="false" customHeight="true" outlineLevel="0" collapsed="false">
      <c r="B2" s="22" t="s">
        <v>20</v>
      </c>
      <c r="C2" s="22"/>
      <c r="D2" s="22"/>
      <c r="E2" s="22"/>
      <c r="F2" s="22"/>
      <c r="G2" s="22"/>
    </row>
    <row r="3" customFormat="false" ht="15" hidden="false" customHeight="false" outlineLevel="0" collapsed="false">
      <c r="B3" s="22"/>
      <c r="C3" s="22"/>
      <c r="D3" s="22"/>
      <c r="E3" s="22"/>
      <c r="F3" s="22"/>
      <c r="G3" s="22"/>
    </row>
    <row r="5" customFormat="false" ht="25.5" hidden="false" customHeight="true" outlineLevel="0" collapsed="false">
      <c r="B5" s="6" t="s">
        <v>396</v>
      </c>
      <c r="C5" s="6" t="s">
        <v>397</v>
      </c>
      <c r="D5" s="6" t="s">
        <v>398</v>
      </c>
      <c r="E5" s="6" t="s">
        <v>399</v>
      </c>
      <c r="F5" s="6" t="s">
        <v>400</v>
      </c>
      <c r="G5" s="6" t="s">
        <v>401</v>
      </c>
    </row>
    <row r="6" customFormat="false" ht="24" hidden="false" customHeight="true" outlineLevel="0" collapsed="false">
      <c r="B6" s="12" t="n">
        <v>1</v>
      </c>
      <c r="C6" s="21" t="s">
        <v>506</v>
      </c>
      <c r="D6" s="23" t="s">
        <v>3</v>
      </c>
      <c r="E6" s="24"/>
      <c r="F6" s="24"/>
      <c r="G6" s="25" t="s">
        <v>507</v>
      </c>
    </row>
    <row r="7" customFormat="false" ht="24" hidden="false" customHeight="true" outlineLevel="0" collapsed="false">
      <c r="B7" s="8" t="n">
        <v>2</v>
      </c>
      <c r="C7" s="26" t="s">
        <v>508</v>
      </c>
      <c r="D7" s="27"/>
      <c r="E7" s="24"/>
      <c r="F7" s="24"/>
      <c r="G7" s="28"/>
    </row>
    <row r="8" customFormat="false" ht="24" hidden="false" customHeight="true" outlineLevel="0" collapsed="false">
      <c r="B8" s="12" t="n">
        <v>3</v>
      </c>
      <c r="C8" s="21" t="s">
        <v>509</v>
      </c>
      <c r="D8" s="23" t="s">
        <v>3</v>
      </c>
      <c r="E8" s="24"/>
      <c r="F8" s="24"/>
      <c r="G8" s="25" t="s">
        <v>510</v>
      </c>
    </row>
    <row r="9" customFormat="false" ht="24" hidden="false" customHeight="true" outlineLevel="0" collapsed="false">
      <c r="B9" s="8" t="n">
        <v>4</v>
      </c>
      <c r="C9" s="26" t="s">
        <v>511</v>
      </c>
      <c r="D9" s="29" t="s">
        <v>3</v>
      </c>
      <c r="E9" s="24"/>
      <c r="F9" s="24"/>
      <c r="G9" s="28" t="s">
        <v>512</v>
      </c>
    </row>
    <row r="11" customFormat="false" ht="15" hidden="false" customHeight="true" outlineLevel="0" collapsed="false">
      <c r="B11" s="15" t="s">
        <v>416</v>
      </c>
      <c r="C11" s="15"/>
      <c r="D11" s="15"/>
      <c r="E11" s="30" t="n">
        <f aca="false">COUNTA(E6:E9)</f>
        <v>0</v>
      </c>
      <c r="F11" s="31" t="s">
        <v>426</v>
      </c>
      <c r="G11" s="31"/>
    </row>
    <row r="13" customFormat="false" ht="15" hidden="false" customHeight="false" outlineLevel="0" collapsed="false">
      <c r="B13" s="32" t="s">
        <v>418</v>
      </c>
    </row>
  </sheetData>
  <mergeCells count="3">
    <mergeCell ref="B2:G3"/>
    <mergeCell ref="B11:D11"/>
    <mergeCell ref="F11:G11"/>
  </mergeCells>
  <dataValidations count="4">
    <dataValidation allowBlank="true" error="Valeur non autorisée" errorStyle="stop" errorTitle="Erreur" operator="between" prompt="Sélectionner dans la liste" promptTitle="Réponse client" showDropDown="false" showErrorMessage="false" showInputMessage="false" sqref="E6" type="list">
      <formula1>Listes!$BA$4:$BA$8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7" type="list">
      <formula1>Listes!$BB$4:$BB$8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8" type="list">
      <formula1>Listes!$BC$4:$BC$9</formula1>
      <formula2>0</formula2>
    </dataValidation>
    <dataValidation allowBlank="true" error="Valeur non autorisée" errorStyle="stop" errorTitle="Erreur" operator="between" prompt="Sélectionner dans la liste" promptTitle="Réponse client" showDropDown="false" showErrorMessage="false" showInputMessage="false" sqref="E9" type="list">
      <formula1>Listes!$BD$4:$BD$8</formula1>
      <formula2>0</formula2>
    </dataValidation>
  </dataValidations>
  <hyperlinks>
    <hyperlink ref="B13" r:id="rId1" location="Sommaire!A1" display="← Retour au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2026-04-28T21:47:35Z</dcterms:created>
  <dc:creator>openpyxl</dc:creator>
  <dc:description/>
  <dc:language>en-US</dc:language>
  <cp:lastModifiedBy/>
  <dcterms:modified xsi:type="dcterms:W3CDTF">2026-04-28T21:47:35Z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